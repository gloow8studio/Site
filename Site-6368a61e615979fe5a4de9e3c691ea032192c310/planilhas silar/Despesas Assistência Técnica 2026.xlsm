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0.xml" ContentType="application/vnd.openxmlformats-officedocument.spreadsheetml.pivotTable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2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2.xml" ContentType="application/vnd.openxmlformats-officedocument.themeOverride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T:\Expedição\ASSISTÊNCIA TÉCNICA\Despesas de SAT - Fornecedor\"/>
    </mc:Choice>
  </mc:AlternateContent>
  <xr:revisionPtr revIDLastSave="0" documentId="13_ncr:1_{72B50FD5-5E6E-4348-8EA4-CA8A66B5C03E}" xr6:coauthVersionLast="47" xr6:coauthVersionMax="47" xr10:uidLastSave="{00000000-0000-0000-0000-000000000000}"/>
  <bookViews>
    <workbookView xWindow="-120" yWindow="-120" windowWidth="21840" windowHeight="13020" activeTab="10" xr2:uid="{00000000-000D-0000-FFFF-FFFF00000000}"/>
  </bookViews>
  <sheets>
    <sheet name="Menu" sheetId="11" r:id="rId1"/>
    <sheet name="Responsabildade " sheetId="14" state="hidden" r:id="rId2"/>
    <sheet name="Serviços" sheetId="15" state="hidden" r:id="rId3"/>
    <sheet name="Defeitos" sheetId="17" state="hidden" r:id="rId4"/>
    <sheet name="Locais" sheetId="18" state="hidden" r:id="rId5"/>
    <sheet name="Clientes" sheetId="19" state="hidden" r:id="rId6"/>
    <sheet name="Planilha2" sheetId="21" state="hidden" r:id="rId7"/>
    <sheet name="Planilha3" sheetId="22" state="hidden" r:id="rId8"/>
    <sheet name="Correio 1" sheetId="31" state="hidden" r:id="rId9"/>
    <sheet name="Correio 2" sheetId="32" state="hidden" r:id="rId10"/>
    <sheet name="SAT 2025" sheetId="2" r:id="rId11"/>
    <sheet name="Dados" sheetId="4" state="hidden" r:id="rId12"/>
    <sheet name="Dinamic_Uniportas" sheetId="23" state="hidden" r:id="rId13"/>
    <sheet name="Fornecedores" sheetId="5" r:id="rId14"/>
    <sheet name="Uniportas" sheetId="6" r:id="rId15"/>
    <sheet name="Consumidor" sheetId="8" r:id="rId16"/>
    <sheet name="DC_1" sheetId="24" state="hidden" r:id="rId17"/>
    <sheet name="DC_2" sheetId="27" state="hidden" r:id="rId18"/>
    <sheet name="Lista_marca" sheetId="28" state="hidden" r:id="rId19"/>
    <sheet name="Fechaduras" sheetId="29" state="hidden" r:id="rId20"/>
  </sheets>
  <externalReferences>
    <externalReference r:id="rId21"/>
  </externalReferences>
  <definedNames>
    <definedName name="_xlcn.WorksheetConnection_NovoaPlanilhadoMicrosoftExcel.xlsxAT_20151" hidden="1">AT_2015[]</definedName>
    <definedName name="AT1_intervalo_criterio">'SAT 2025'!$AU:$AU</definedName>
    <definedName name="AU1_soma_criterio">'SAT 2025'!$AV:$AV</definedName>
  </definedNames>
  <calcPr calcId="191029"/>
  <pivotCaches>
    <pivotCache cacheId="103" r:id="rId22"/>
    <pivotCache cacheId="104" r:id="rId23"/>
    <pivotCache cacheId="105" r:id="rId24"/>
    <pivotCache cacheId="106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T_2015" name="AT_2015" connection="WorksheetConnection_Novo(a) Planilha do Microsoft Excel.xlsx!AT_2015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2" l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5" i="2"/>
  <c r="Y116" i="2"/>
  <c r="Y117" i="2"/>
  <c r="Y118" i="2"/>
  <c r="Y119" i="2"/>
  <c r="Y120" i="2"/>
  <c r="Y5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5" i="2"/>
  <c r="AA116" i="2"/>
  <c r="AA117" i="2"/>
  <c r="AA118" i="2"/>
  <c r="AA119" i="2"/>
  <c r="AA120" i="2"/>
  <c r="AA121" i="2"/>
  <c r="AA122" i="2"/>
  <c r="AA123" i="2"/>
  <c r="AA124" i="2"/>
  <c r="AA125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5" i="2"/>
  <c r="AB116" i="2"/>
  <c r="AB117" i="2"/>
  <c r="AB118" i="2"/>
  <c r="AB119" i="2"/>
  <c r="AB120" i="2"/>
  <c r="AB121" i="2"/>
  <c r="AB122" i="2"/>
  <c r="AB123" i="2"/>
  <c r="AB124" i="2"/>
  <c r="AB125" i="2"/>
  <c r="B5" i="29"/>
  <c r="B126" i="2" l="1"/>
  <c r="AH8" i="2"/>
  <c r="AU9" i="2"/>
  <c r="AH10" i="2"/>
  <c r="A11" i="2"/>
  <c r="AD12" i="2"/>
  <c r="AF13" i="2"/>
  <c r="AH14" i="2"/>
  <c r="AU15" i="2"/>
  <c r="AH20" i="2"/>
  <c r="AU21" i="2"/>
  <c r="AH22" i="2"/>
  <c r="A23" i="2"/>
  <c r="AD24" i="2"/>
  <c r="AF25" i="2"/>
  <c r="AH26" i="2"/>
  <c r="A27" i="2"/>
  <c r="AH32" i="2"/>
  <c r="AU33" i="2"/>
  <c r="AH34" i="2"/>
  <c r="A35" i="2"/>
  <c r="AD36" i="2"/>
  <c r="AF37" i="2"/>
  <c r="AH38" i="2"/>
  <c r="AE39" i="2"/>
  <c r="AH44" i="2"/>
  <c r="AU45" i="2"/>
  <c r="AH46" i="2"/>
  <c r="A47" i="2"/>
  <c r="AD48" i="2"/>
  <c r="AF49" i="2"/>
  <c r="AH50" i="2"/>
  <c r="AU51" i="2"/>
  <c r="AH56" i="2"/>
  <c r="AU57" i="2"/>
  <c r="AH58" i="2"/>
  <c r="C126" i="2"/>
  <c r="C127" i="2" s="1"/>
  <c r="D126" i="2"/>
  <c r="D127" i="2" s="1"/>
  <c r="E126" i="2"/>
  <c r="E127" i="2" s="1"/>
  <c r="F126" i="2"/>
  <c r="G126" i="2"/>
  <c r="G127" i="2" s="1"/>
  <c r="H126" i="2"/>
  <c r="H127" i="2" s="1"/>
  <c r="I126" i="2"/>
  <c r="I127" i="2" s="1"/>
  <c r="J126" i="2"/>
  <c r="J127" i="2" s="1"/>
  <c r="K126" i="2"/>
  <c r="K127" i="2" s="1"/>
  <c r="L126" i="2"/>
  <c r="L127" i="2" s="1"/>
  <c r="M126" i="2"/>
  <c r="M127" i="2" s="1"/>
  <c r="N126" i="2"/>
  <c r="N127" i="2" s="1"/>
  <c r="O126" i="2"/>
  <c r="O127" i="2" s="1"/>
  <c r="P126" i="2"/>
  <c r="P127" i="2" s="1"/>
  <c r="Q126" i="2"/>
  <c r="Q127" i="2" s="1"/>
  <c r="R126" i="2"/>
  <c r="R127" i="2" s="1"/>
  <c r="S126" i="2"/>
  <c r="S127" i="2" s="1"/>
  <c r="A207" i="8"/>
  <c r="A206" i="8"/>
  <c r="A205" i="8"/>
  <c r="A223" i="8" s="1"/>
  <c r="A204" i="8"/>
  <c r="A203" i="8"/>
  <c r="A202" i="8"/>
  <c r="A201" i="8"/>
  <c r="A200" i="8"/>
  <c r="A199" i="8"/>
  <c r="A198" i="8"/>
  <c r="A222" i="8" s="1"/>
  <c r="A197" i="8"/>
  <c r="A196" i="8"/>
  <c r="A195" i="8"/>
  <c r="A194" i="8"/>
  <c r="A221" i="8" s="1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220" i="8" s="1"/>
  <c r="N164" i="8"/>
  <c r="B164" i="8"/>
  <c r="A164" i="8"/>
  <c r="N163" i="8"/>
  <c r="B163" i="8"/>
  <c r="A163" i="8"/>
  <c r="N162" i="8"/>
  <c r="B162" i="8"/>
  <c r="A162" i="8"/>
  <c r="N161" i="8"/>
  <c r="B161" i="8"/>
  <c r="A161" i="8"/>
  <c r="N160" i="8"/>
  <c r="B160" i="8"/>
  <c r="A160" i="8"/>
  <c r="N159" i="8"/>
  <c r="B159" i="8"/>
  <c r="A159" i="8"/>
  <c r="N158" i="8"/>
  <c r="B158" i="8"/>
  <c r="A158" i="8"/>
  <c r="N157" i="8"/>
  <c r="B157" i="8"/>
  <c r="A157" i="8"/>
  <c r="N156" i="8"/>
  <c r="B156" i="8"/>
  <c r="A156" i="8"/>
  <c r="N155" i="8"/>
  <c r="B155" i="8"/>
  <c r="A155" i="8"/>
  <c r="N154" i="8"/>
  <c r="B154" i="8"/>
  <c r="A154" i="8"/>
  <c r="N153" i="8"/>
  <c r="B153" i="8"/>
  <c r="A153" i="8"/>
  <c r="N152" i="8"/>
  <c r="B152" i="8"/>
  <c r="A152" i="8"/>
  <c r="N151" i="8"/>
  <c r="B151" i="8"/>
  <c r="A151" i="8"/>
  <c r="N150" i="8"/>
  <c r="B150" i="8"/>
  <c r="A150" i="8"/>
  <c r="N149" i="8"/>
  <c r="B149" i="8"/>
  <c r="A149" i="8"/>
  <c r="N148" i="8"/>
  <c r="B148" i="8"/>
  <c r="A148" i="8"/>
  <c r="N147" i="8"/>
  <c r="B147" i="8"/>
  <c r="A147" i="8"/>
  <c r="N146" i="8"/>
  <c r="B146" i="8"/>
  <c r="A146" i="8"/>
  <c r="N145" i="8"/>
  <c r="B145" i="8"/>
  <c r="A145" i="8"/>
  <c r="N144" i="8"/>
  <c r="B144" i="8"/>
  <c r="A144" i="8"/>
  <c r="N143" i="8"/>
  <c r="B143" i="8"/>
  <c r="A143" i="8"/>
  <c r="N142" i="8"/>
  <c r="B142" i="8"/>
  <c r="A142" i="8"/>
  <c r="N141" i="8"/>
  <c r="B141" i="8"/>
  <c r="A141" i="8"/>
  <c r="N140" i="8"/>
  <c r="C140" i="8"/>
  <c r="B140" i="8"/>
  <c r="A140" i="8"/>
  <c r="N139" i="8"/>
  <c r="C139" i="8"/>
  <c r="B139" i="8"/>
  <c r="A139" i="8"/>
  <c r="N138" i="8"/>
  <c r="A138" i="8"/>
  <c r="P116" i="6"/>
  <c r="P118" i="6"/>
  <c r="Q118" i="6" s="1"/>
  <c r="Q111" i="6"/>
  <c r="P111" i="6"/>
  <c r="A140" i="5"/>
  <c r="A139" i="5"/>
  <c r="A138" i="5"/>
  <c r="A153" i="5" s="1"/>
  <c r="A137" i="5"/>
  <c r="A136" i="5"/>
  <c r="A135" i="5"/>
  <c r="A152" i="5" s="1"/>
  <c r="A134" i="5"/>
  <c r="A151" i="5" s="1"/>
  <c r="A133" i="5"/>
  <c r="A150" i="5" s="1"/>
  <c r="A132" i="5"/>
  <c r="A131" i="5"/>
  <c r="A149" i="5" s="1"/>
  <c r="A130" i="5"/>
  <c r="A129" i="5"/>
  <c r="A128" i="5"/>
  <c r="A148" i="5" s="1"/>
  <c r="A127" i="5"/>
  <c r="A147" i="5" s="1"/>
  <c r="A126" i="5"/>
  <c r="A125" i="5"/>
  <c r="A124" i="5"/>
  <c r="A123" i="5"/>
  <c r="A146" i="5" s="1"/>
  <c r="A122" i="5"/>
  <c r="A145" i="5" s="1"/>
  <c r="A121" i="5"/>
  <c r="A120" i="5"/>
  <c r="A119" i="5"/>
  <c r="A118" i="5"/>
  <c r="A117" i="5"/>
  <c r="A116" i="5"/>
  <c r="A115" i="5"/>
  <c r="A114" i="5"/>
  <c r="A144" i="5" s="1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B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BG33" i="23"/>
  <c r="BF33" i="23"/>
  <c r="BE33" i="23"/>
  <c r="BD33" i="23"/>
  <c r="BC33" i="23"/>
  <c r="BB33" i="23"/>
  <c r="BA33" i="23"/>
  <c r="AZ33" i="23"/>
  <c r="AY33" i="23"/>
  <c r="AX33" i="23"/>
  <c r="AW33" i="23"/>
  <c r="AV33" i="23"/>
  <c r="AU33" i="23"/>
  <c r="AT33" i="23"/>
  <c r="AS33" i="23"/>
  <c r="AR33" i="23"/>
  <c r="AQ33" i="23"/>
  <c r="AP33" i="23"/>
  <c r="AO33" i="23"/>
  <c r="AN33" i="23"/>
  <c r="AM33" i="23"/>
  <c r="AL33" i="23"/>
  <c r="AK33" i="23"/>
  <c r="AJ33" i="23"/>
  <c r="AI33" i="23"/>
  <c r="AH33" i="23"/>
  <c r="AG33" i="23"/>
  <c r="AF33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BG31" i="23"/>
  <c r="BF31" i="23"/>
  <c r="BE31" i="23"/>
  <c r="BD31" i="23"/>
  <c r="BC31" i="23"/>
  <c r="BB31" i="23"/>
  <c r="BA31" i="23"/>
  <c r="AZ31" i="23"/>
  <c r="AY31" i="23"/>
  <c r="AX31" i="23"/>
  <c r="AW31" i="23"/>
  <c r="AV31" i="23"/>
  <c r="AU31" i="23"/>
  <c r="AT31" i="23"/>
  <c r="AS31" i="23"/>
  <c r="AR31" i="23"/>
  <c r="AQ31" i="23"/>
  <c r="AP31" i="23"/>
  <c r="AO31" i="23"/>
  <c r="AN31" i="23"/>
  <c r="AM31" i="23"/>
  <c r="AL31" i="23"/>
  <c r="AK31" i="23"/>
  <c r="AJ31" i="23"/>
  <c r="AI31" i="23"/>
  <c r="AH31" i="23"/>
  <c r="AG31" i="23"/>
  <c r="AF31" i="23"/>
  <c r="BG30" i="23"/>
  <c r="BF30" i="23"/>
  <c r="BE30" i="23"/>
  <c r="BD30" i="23"/>
  <c r="BC30" i="23"/>
  <c r="BB30" i="23"/>
  <c r="BA30" i="23"/>
  <c r="AZ30" i="23"/>
  <c r="AY30" i="23"/>
  <c r="AX30" i="23"/>
  <c r="AW30" i="23"/>
  <c r="AV30" i="23"/>
  <c r="AU30" i="23"/>
  <c r="AT30" i="23"/>
  <c r="AS30" i="23"/>
  <c r="AR30" i="23"/>
  <c r="AQ30" i="23"/>
  <c r="AP30" i="23"/>
  <c r="AO30" i="23"/>
  <c r="AN30" i="23"/>
  <c r="AM30" i="23"/>
  <c r="AL30" i="23"/>
  <c r="AK30" i="23"/>
  <c r="AJ30" i="23"/>
  <c r="AI30" i="23"/>
  <c r="AH30" i="23"/>
  <c r="AG30" i="23"/>
  <c r="AF30" i="23"/>
  <c r="BG29" i="23"/>
  <c r="BF29" i="23"/>
  <c r="BE29" i="23"/>
  <c r="BD29" i="23"/>
  <c r="BC29" i="23"/>
  <c r="BB29" i="23"/>
  <c r="BA29" i="23"/>
  <c r="AZ29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G29" i="23"/>
  <c r="AF29" i="23"/>
  <c r="BG28" i="23"/>
  <c r="BF28" i="23"/>
  <c r="BE28" i="23"/>
  <c r="BD28" i="23"/>
  <c r="BC28" i="23"/>
  <c r="BB28" i="23"/>
  <c r="BB35" i="23" s="1"/>
  <c r="BA28" i="23"/>
  <c r="AZ28" i="23"/>
  <c r="AZ35" i="23" s="1"/>
  <c r="AY28" i="23"/>
  <c r="AX28" i="23"/>
  <c r="AW28" i="23"/>
  <c r="AV28" i="23"/>
  <c r="AU28" i="23"/>
  <c r="AT28" i="23"/>
  <c r="AS28" i="23"/>
  <c r="AR28" i="23"/>
  <c r="AQ28" i="23"/>
  <c r="AP28" i="23"/>
  <c r="AP35" i="23" s="1"/>
  <c r="AO28" i="23"/>
  <c r="AN28" i="23"/>
  <c r="AN35" i="23" s="1"/>
  <c r="AM28" i="23"/>
  <c r="AL28" i="23"/>
  <c r="AK28" i="23"/>
  <c r="AJ28" i="23"/>
  <c r="AI28" i="23"/>
  <c r="AH28" i="23"/>
  <c r="AG28" i="23"/>
  <c r="AF28" i="23"/>
  <c r="BG27" i="23"/>
  <c r="BF27" i="23"/>
  <c r="BE27" i="23"/>
  <c r="BD27" i="23"/>
  <c r="BC27" i="23"/>
  <c r="BB27" i="23"/>
  <c r="BA27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AH27" i="23"/>
  <c r="AG27" i="23"/>
  <c r="AF27" i="23"/>
  <c r="BG26" i="23"/>
  <c r="BF26" i="23"/>
  <c r="BE26" i="23"/>
  <c r="BD26" i="23"/>
  <c r="BC26" i="23"/>
  <c r="BB26" i="23"/>
  <c r="BA26" i="23"/>
  <c r="AZ26" i="23"/>
  <c r="AY26" i="23"/>
  <c r="AX26" i="23"/>
  <c r="AW26" i="23"/>
  <c r="AV26" i="23"/>
  <c r="AU26" i="23"/>
  <c r="AT26" i="23"/>
  <c r="AS26" i="23"/>
  <c r="AR26" i="23"/>
  <c r="AQ26" i="23"/>
  <c r="AP26" i="23"/>
  <c r="AO26" i="23"/>
  <c r="AN26" i="23"/>
  <c r="AM26" i="23"/>
  <c r="AL26" i="23"/>
  <c r="AK26" i="23"/>
  <c r="AJ26" i="23"/>
  <c r="AI26" i="23"/>
  <c r="AH26" i="23"/>
  <c r="AG26" i="23"/>
  <c r="AF26" i="23"/>
  <c r="BG25" i="23"/>
  <c r="BF25" i="23"/>
  <c r="BE25" i="23"/>
  <c r="BD25" i="23"/>
  <c r="BC25" i="23"/>
  <c r="BB25" i="23"/>
  <c r="BA25" i="23"/>
  <c r="AZ25" i="23"/>
  <c r="AY25" i="23"/>
  <c r="AX25" i="23"/>
  <c r="AW25" i="23"/>
  <c r="AV25" i="23"/>
  <c r="AU25" i="23"/>
  <c r="AT25" i="23"/>
  <c r="AS25" i="23"/>
  <c r="AR25" i="23"/>
  <c r="AQ25" i="23"/>
  <c r="AP25" i="23"/>
  <c r="AO25" i="23"/>
  <c r="AN25" i="23"/>
  <c r="AM25" i="23"/>
  <c r="AL25" i="23"/>
  <c r="AK25" i="23"/>
  <c r="AJ25" i="23"/>
  <c r="AI25" i="23"/>
  <c r="AH25" i="23"/>
  <c r="AG25" i="23"/>
  <c r="AF25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BG23" i="23"/>
  <c r="BF23" i="23"/>
  <c r="BE23" i="23"/>
  <c r="BD23" i="23"/>
  <c r="BC23" i="23"/>
  <c r="BB23" i="23"/>
  <c r="BA23" i="23"/>
  <c r="AZ23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AH23" i="23"/>
  <c r="AG23" i="23"/>
  <c r="AF23" i="23"/>
  <c r="BG22" i="23"/>
  <c r="BF22" i="23"/>
  <c r="BE22" i="23"/>
  <c r="BD22" i="23"/>
  <c r="BC22" i="23"/>
  <c r="BB22" i="23"/>
  <c r="BB34" i="23" s="1"/>
  <c r="BB36" i="23" s="1"/>
  <c r="BA22" i="23"/>
  <c r="AZ22" i="23"/>
  <c r="AZ34" i="23" s="1"/>
  <c r="AZ36" i="23" s="1"/>
  <c r="AY22" i="23"/>
  <c r="AX22" i="23"/>
  <c r="AW22" i="23"/>
  <c r="AV22" i="23"/>
  <c r="AU22" i="23"/>
  <c r="AT22" i="23"/>
  <c r="AS22" i="23"/>
  <c r="AR22" i="23"/>
  <c r="AQ22" i="23"/>
  <c r="AP22" i="23"/>
  <c r="AP34" i="23" s="1"/>
  <c r="AP36" i="23" s="1"/>
  <c r="AO22" i="23"/>
  <c r="AN22" i="23"/>
  <c r="AN34" i="23" s="1"/>
  <c r="AN36" i="23" s="1"/>
  <c r="AM22" i="23"/>
  <c r="AL22" i="23"/>
  <c r="AK22" i="23"/>
  <c r="AJ22" i="23"/>
  <c r="AI22" i="23"/>
  <c r="AH22" i="23"/>
  <c r="AG22" i="23"/>
  <c r="AF22" i="23"/>
  <c r="A51" i="5"/>
  <c r="A50" i="5"/>
  <c r="A49" i="5"/>
  <c r="A48" i="5"/>
  <c r="A47" i="5"/>
  <c r="A46" i="5"/>
  <c r="A45" i="5"/>
  <c r="A44" i="5"/>
  <c r="A43" i="5"/>
  <c r="A42" i="5"/>
  <c r="A41" i="5"/>
  <c r="A40" i="5"/>
  <c r="D33" i="4"/>
  <c r="A50" i="6" s="1"/>
  <c r="A100" i="6" s="1"/>
  <c r="M106" i="6" s="1"/>
  <c r="D32" i="4"/>
  <c r="A49" i="6" s="1"/>
  <c r="A99" i="6" s="1"/>
  <c r="L106" i="6" s="1"/>
  <c r="D31" i="4"/>
  <c r="A48" i="6" s="1"/>
  <c r="A98" i="6" s="1"/>
  <c r="K106" i="6" s="1"/>
  <c r="D30" i="4"/>
  <c r="A47" i="6" s="1"/>
  <c r="A97" i="6" s="1"/>
  <c r="J106" i="6" s="1"/>
  <c r="D29" i="4"/>
  <c r="A46" i="6" s="1"/>
  <c r="A96" i="6" s="1"/>
  <c r="I106" i="6" s="1"/>
  <c r="D28" i="4"/>
  <c r="A45" i="6" s="1"/>
  <c r="A95" i="6" s="1"/>
  <c r="H106" i="6" s="1"/>
  <c r="D27" i="4"/>
  <c r="A44" i="6" s="1"/>
  <c r="A94" i="6" s="1"/>
  <c r="G106" i="6" s="1"/>
  <c r="D26" i="4"/>
  <c r="A43" i="6" s="1"/>
  <c r="A93" i="6" s="1"/>
  <c r="F106" i="6" s="1"/>
  <c r="D25" i="4"/>
  <c r="A42" i="6" s="1"/>
  <c r="A92" i="6" s="1"/>
  <c r="E106" i="6" s="1"/>
  <c r="D24" i="4"/>
  <c r="A41" i="6" s="1"/>
  <c r="A91" i="6" s="1"/>
  <c r="D106" i="6" s="1"/>
  <c r="D23" i="4"/>
  <c r="A40" i="6" s="1"/>
  <c r="A90" i="6" s="1"/>
  <c r="C106" i="6" s="1"/>
  <c r="D22" i="4"/>
  <c r="A39" i="6" s="1"/>
  <c r="A89" i="6" s="1"/>
  <c r="B106" i="6" s="1"/>
  <c r="F137" i="2"/>
  <c r="X126" i="2"/>
  <c r="X2" i="2" s="1"/>
  <c r="W126" i="2"/>
  <c r="W2" i="2" s="1"/>
  <c r="V126" i="2"/>
  <c r="V2" i="2" s="1"/>
  <c r="U126" i="2"/>
  <c r="U2" i="2" s="1"/>
  <c r="T126" i="2"/>
  <c r="T2" i="2" s="1"/>
  <c r="AV125" i="2"/>
  <c r="AU125" i="2"/>
  <c r="AH125" i="2"/>
  <c r="AG125" i="2"/>
  <c r="AF125" i="2"/>
  <c r="AE125" i="2"/>
  <c r="AD125" i="2"/>
  <c r="AC125" i="2"/>
  <c r="Y125" i="2"/>
  <c r="A125" i="2"/>
  <c r="AV124" i="2"/>
  <c r="AU124" i="2"/>
  <c r="AH124" i="2"/>
  <c r="AG124" i="2"/>
  <c r="AF124" i="2"/>
  <c r="AE124" i="2"/>
  <c r="AD124" i="2"/>
  <c r="AC124" i="2"/>
  <c r="Y124" i="2"/>
  <c r="A124" i="2"/>
  <c r="AV123" i="2"/>
  <c r="AU123" i="2"/>
  <c r="AH123" i="2"/>
  <c r="AG123" i="2"/>
  <c r="AF123" i="2"/>
  <c r="AE123" i="2"/>
  <c r="AD123" i="2"/>
  <c r="AC123" i="2"/>
  <c r="Y123" i="2"/>
  <c r="A123" i="2"/>
  <c r="AV122" i="2"/>
  <c r="AU122" i="2"/>
  <c r="AH122" i="2"/>
  <c r="AG122" i="2"/>
  <c r="AF122" i="2"/>
  <c r="AE122" i="2"/>
  <c r="AD122" i="2"/>
  <c r="AC122" i="2"/>
  <c r="Y122" i="2"/>
  <c r="A122" i="2"/>
  <c r="AV121" i="2"/>
  <c r="AU121" i="2"/>
  <c r="AH121" i="2"/>
  <c r="AG121" i="2"/>
  <c r="AF121" i="2"/>
  <c r="AE121" i="2"/>
  <c r="AD121" i="2"/>
  <c r="AC121" i="2"/>
  <c r="Y121" i="2"/>
  <c r="A121" i="2"/>
  <c r="AV120" i="2"/>
  <c r="AU120" i="2"/>
  <c r="AH120" i="2"/>
  <c r="AG120" i="2"/>
  <c r="AF120" i="2"/>
  <c r="AE120" i="2"/>
  <c r="AD120" i="2"/>
  <c r="AC120" i="2"/>
  <c r="A120" i="2"/>
  <c r="AV119" i="2"/>
  <c r="AU119" i="2"/>
  <c r="AH119" i="2"/>
  <c r="AG119" i="2"/>
  <c r="AF119" i="2"/>
  <c r="AE119" i="2"/>
  <c r="AD119" i="2"/>
  <c r="AC119" i="2"/>
  <c r="A119" i="2"/>
  <c r="AV118" i="2"/>
  <c r="AU118" i="2"/>
  <c r="AH118" i="2"/>
  <c r="AG118" i="2"/>
  <c r="AF118" i="2"/>
  <c r="AE118" i="2"/>
  <c r="AD118" i="2"/>
  <c r="AC118" i="2"/>
  <c r="A118" i="2"/>
  <c r="AV117" i="2"/>
  <c r="AU117" i="2"/>
  <c r="AH117" i="2"/>
  <c r="AG117" i="2"/>
  <c r="AF117" i="2"/>
  <c r="AE117" i="2"/>
  <c r="AD117" i="2"/>
  <c r="AC117" i="2"/>
  <c r="A117" i="2"/>
  <c r="AV116" i="2"/>
  <c r="AU116" i="2"/>
  <c r="AH116" i="2"/>
  <c r="AG116" i="2"/>
  <c r="AF116" i="2"/>
  <c r="AE116" i="2"/>
  <c r="AD116" i="2"/>
  <c r="AC116" i="2"/>
  <c r="A116" i="2"/>
  <c r="AV115" i="2"/>
  <c r="AU115" i="2"/>
  <c r="AH115" i="2"/>
  <c r="AG115" i="2"/>
  <c r="AF115" i="2"/>
  <c r="AE115" i="2"/>
  <c r="AD115" i="2"/>
  <c r="AC115" i="2"/>
  <c r="A115" i="2"/>
  <c r="AV113" i="2"/>
  <c r="AU113" i="2"/>
  <c r="AH113" i="2"/>
  <c r="AG113" i="2"/>
  <c r="AF113" i="2"/>
  <c r="AE113" i="2"/>
  <c r="AD113" i="2"/>
  <c r="AC113" i="2"/>
  <c r="A113" i="2"/>
  <c r="AV112" i="2"/>
  <c r="AU112" i="2"/>
  <c r="AH112" i="2"/>
  <c r="AG112" i="2"/>
  <c r="AF112" i="2"/>
  <c r="AE112" i="2"/>
  <c r="AD112" i="2"/>
  <c r="AC112" i="2"/>
  <c r="A112" i="2"/>
  <c r="AV111" i="2"/>
  <c r="AU111" i="2"/>
  <c r="AH111" i="2"/>
  <c r="AG111" i="2"/>
  <c r="AF111" i="2"/>
  <c r="AE111" i="2"/>
  <c r="AD111" i="2"/>
  <c r="AC111" i="2"/>
  <c r="A111" i="2"/>
  <c r="AV110" i="2"/>
  <c r="AU110" i="2"/>
  <c r="AH110" i="2"/>
  <c r="AG110" i="2"/>
  <c r="AF110" i="2"/>
  <c r="AE110" i="2"/>
  <c r="AD110" i="2"/>
  <c r="AC110" i="2"/>
  <c r="A110" i="2"/>
  <c r="AV109" i="2"/>
  <c r="AU109" i="2"/>
  <c r="AH109" i="2"/>
  <c r="AG109" i="2"/>
  <c r="AF109" i="2"/>
  <c r="AE109" i="2"/>
  <c r="AD109" i="2"/>
  <c r="AC109" i="2"/>
  <c r="A109" i="2"/>
  <c r="AV108" i="2"/>
  <c r="AU108" i="2"/>
  <c r="AH108" i="2"/>
  <c r="AG108" i="2"/>
  <c r="AF108" i="2"/>
  <c r="AE108" i="2"/>
  <c r="AD108" i="2"/>
  <c r="AC108" i="2"/>
  <c r="A108" i="2"/>
  <c r="AV107" i="2"/>
  <c r="AU107" i="2"/>
  <c r="AH107" i="2"/>
  <c r="AG107" i="2"/>
  <c r="AF107" i="2"/>
  <c r="AE107" i="2"/>
  <c r="AD107" i="2"/>
  <c r="AC107" i="2"/>
  <c r="A107" i="2"/>
  <c r="AV106" i="2"/>
  <c r="AU106" i="2"/>
  <c r="AH106" i="2"/>
  <c r="AG106" i="2"/>
  <c r="AF106" i="2"/>
  <c r="AE106" i="2"/>
  <c r="AD106" i="2"/>
  <c r="AC106" i="2"/>
  <c r="A106" i="2"/>
  <c r="AV105" i="2"/>
  <c r="AU105" i="2"/>
  <c r="AH105" i="2"/>
  <c r="AG105" i="2"/>
  <c r="AF105" i="2"/>
  <c r="AE105" i="2"/>
  <c r="AD105" i="2"/>
  <c r="AC105" i="2"/>
  <c r="A105" i="2"/>
  <c r="AV104" i="2"/>
  <c r="AU104" i="2"/>
  <c r="AH104" i="2"/>
  <c r="AG104" i="2"/>
  <c r="AF104" i="2"/>
  <c r="AE104" i="2"/>
  <c r="AD104" i="2"/>
  <c r="AC104" i="2"/>
  <c r="A104" i="2"/>
  <c r="AV103" i="2"/>
  <c r="AU103" i="2"/>
  <c r="AH103" i="2"/>
  <c r="AG103" i="2"/>
  <c r="AF103" i="2"/>
  <c r="AE103" i="2"/>
  <c r="AD103" i="2"/>
  <c r="AC103" i="2"/>
  <c r="A103" i="2"/>
  <c r="AV102" i="2"/>
  <c r="AU102" i="2"/>
  <c r="AH102" i="2"/>
  <c r="AG102" i="2"/>
  <c r="AF102" i="2"/>
  <c r="AE102" i="2"/>
  <c r="AD102" i="2"/>
  <c r="AC102" i="2"/>
  <c r="A102" i="2"/>
  <c r="AV101" i="2"/>
  <c r="AU101" i="2"/>
  <c r="AH101" i="2"/>
  <c r="AG101" i="2"/>
  <c r="AF101" i="2"/>
  <c r="AE101" i="2"/>
  <c r="AD101" i="2"/>
  <c r="AC101" i="2"/>
  <c r="A101" i="2"/>
  <c r="AV100" i="2"/>
  <c r="AU100" i="2"/>
  <c r="AH100" i="2"/>
  <c r="AG100" i="2"/>
  <c r="AF100" i="2"/>
  <c r="AE100" i="2"/>
  <c r="AD100" i="2"/>
  <c r="AC100" i="2"/>
  <c r="A100" i="2"/>
  <c r="AV99" i="2"/>
  <c r="AU99" i="2"/>
  <c r="AH99" i="2"/>
  <c r="AG99" i="2"/>
  <c r="AF99" i="2"/>
  <c r="AE99" i="2"/>
  <c r="AD99" i="2"/>
  <c r="AC99" i="2"/>
  <c r="A99" i="2"/>
  <c r="AV98" i="2"/>
  <c r="AU98" i="2"/>
  <c r="AH98" i="2"/>
  <c r="AG98" i="2"/>
  <c r="AF98" i="2"/>
  <c r="AE98" i="2"/>
  <c r="AD98" i="2"/>
  <c r="AC98" i="2"/>
  <c r="A98" i="2"/>
  <c r="AV97" i="2"/>
  <c r="AU97" i="2"/>
  <c r="AH97" i="2"/>
  <c r="AG97" i="2"/>
  <c r="AF97" i="2"/>
  <c r="AE97" i="2"/>
  <c r="AD97" i="2"/>
  <c r="AC97" i="2"/>
  <c r="A97" i="2"/>
  <c r="AV96" i="2"/>
  <c r="AU96" i="2"/>
  <c r="AH96" i="2"/>
  <c r="AG96" i="2"/>
  <c r="AF96" i="2"/>
  <c r="AE96" i="2"/>
  <c r="AD96" i="2"/>
  <c r="AC96" i="2"/>
  <c r="A96" i="2"/>
  <c r="AV95" i="2"/>
  <c r="AU95" i="2"/>
  <c r="AH95" i="2"/>
  <c r="AG95" i="2"/>
  <c r="AF95" i="2"/>
  <c r="AE95" i="2"/>
  <c r="AD95" i="2"/>
  <c r="AC95" i="2"/>
  <c r="A95" i="2"/>
  <c r="AV94" i="2"/>
  <c r="AU94" i="2"/>
  <c r="AH94" i="2"/>
  <c r="AG94" i="2"/>
  <c r="AF94" i="2"/>
  <c r="AE94" i="2"/>
  <c r="AD94" i="2"/>
  <c r="AC94" i="2"/>
  <c r="A94" i="2"/>
  <c r="AV93" i="2"/>
  <c r="AU93" i="2"/>
  <c r="AH93" i="2"/>
  <c r="AG93" i="2"/>
  <c r="AF93" i="2"/>
  <c r="AE93" i="2"/>
  <c r="AD93" i="2"/>
  <c r="AC93" i="2"/>
  <c r="A93" i="2"/>
  <c r="AV92" i="2"/>
  <c r="AU92" i="2"/>
  <c r="AH92" i="2"/>
  <c r="AG92" i="2"/>
  <c r="AF92" i="2"/>
  <c r="AE92" i="2"/>
  <c r="AD92" i="2"/>
  <c r="AC92" i="2"/>
  <c r="A92" i="2"/>
  <c r="AV91" i="2"/>
  <c r="AU91" i="2"/>
  <c r="AH91" i="2"/>
  <c r="AG91" i="2"/>
  <c r="AF91" i="2"/>
  <c r="AE91" i="2"/>
  <c r="AD91" i="2"/>
  <c r="AC91" i="2"/>
  <c r="A91" i="2"/>
  <c r="AV90" i="2"/>
  <c r="AU90" i="2"/>
  <c r="AH90" i="2"/>
  <c r="AG90" i="2"/>
  <c r="AF90" i="2"/>
  <c r="AE90" i="2"/>
  <c r="AD90" i="2"/>
  <c r="AC90" i="2"/>
  <c r="A90" i="2"/>
  <c r="AV89" i="2"/>
  <c r="AU89" i="2"/>
  <c r="AH89" i="2"/>
  <c r="AG89" i="2"/>
  <c r="AF89" i="2"/>
  <c r="AE89" i="2"/>
  <c r="AD89" i="2"/>
  <c r="AC89" i="2"/>
  <c r="A89" i="2"/>
  <c r="AV88" i="2"/>
  <c r="AU88" i="2"/>
  <c r="AH88" i="2"/>
  <c r="AG88" i="2"/>
  <c r="AF88" i="2"/>
  <c r="AE88" i="2"/>
  <c r="AD88" i="2"/>
  <c r="AC88" i="2"/>
  <c r="A88" i="2"/>
  <c r="AV87" i="2"/>
  <c r="AU87" i="2"/>
  <c r="AH87" i="2"/>
  <c r="AG87" i="2"/>
  <c r="AF87" i="2"/>
  <c r="AE87" i="2"/>
  <c r="AD87" i="2"/>
  <c r="AC87" i="2"/>
  <c r="A87" i="2"/>
  <c r="AV86" i="2"/>
  <c r="AU86" i="2"/>
  <c r="AH86" i="2"/>
  <c r="AG86" i="2"/>
  <c r="AF86" i="2"/>
  <c r="AE86" i="2"/>
  <c r="AD86" i="2"/>
  <c r="AC86" i="2"/>
  <c r="A86" i="2"/>
  <c r="AV85" i="2"/>
  <c r="AU85" i="2"/>
  <c r="AH85" i="2"/>
  <c r="AG85" i="2"/>
  <c r="AF85" i="2"/>
  <c r="AE85" i="2"/>
  <c r="AD85" i="2"/>
  <c r="AC85" i="2"/>
  <c r="A85" i="2"/>
  <c r="AV84" i="2"/>
  <c r="AU84" i="2"/>
  <c r="AH84" i="2"/>
  <c r="AG84" i="2"/>
  <c r="AF84" i="2"/>
  <c r="AE84" i="2"/>
  <c r="AD84" i="2"/>
  <c r="AC84" i="2"/>
  <c r="A84" i="2"/>
  <c r="AV83" i="2"/>
  <c r="AU83" i="2"/>
  <c r="AH83" i="2"/>
  <c r="AG83" i="2"/>
  <c r="AF83" i="2"/>
  <c r="AE83" i="2"/>
  <c r="AD83" i="2"/>
  <c r="AC83" i="2"/>
  <c r="A83" i="2"/>
  <c r="AV82" i="2"/>
  <c r="AU82" i="2"/>
  <c r="AH82" i="2"/>
  <c r="AG82" i="2"/>
  <c r="AF82" i="2"/>
  <c r="AE82" i="2"/>
  <c r="AD82" i="2"/>
  <c r="AC82" i="2"/>
  <c r="A82" i="2"/>
  <c r="AV81" i="2"/>
  <c r="AU81" i="2"/>
  <c r="AH81" i="2"/>
  <c r="AG81" i="2"/>
  <c r="AF81" i="2"/>
  <c r="AE81" i="2"/>
  <c r="AD81" i="2"/>
  <c r="AC81" i="2"/>
  <c r="A81" i="2"/>
  <c r="AV80" i="2"/>
  <c r="AU80" i="2"/>
  <c r="AH80" i="2"/>
  <c r="AG80" i="2"/>
  <c r="AF80" i="2"/>
  <c r="AE80" i="2"/>
  <c r="AD80" i="2"/>
  <c r="AC80" i="2"/>
  <c r="A80" i="2"/>
  <c r="AV79" i="2"/>
  <c r="AU79" i="2"/>
  <c r="AH79" i="2"/>
  <c r="AG79" i="2"/>
  <c r="AF79" i="2"/>
  <c r="AE79" i="2"/>
  <c r="AD79" i="2"/>
  <c r="AC79" i="2"/>
  <c r="A79" i="2"/>
  <c r="AV78" i="2"/>
  <c r="AU78" i="2"/>
  <c r="AH78" i="2"/>
  <c r="AG78" i="2"/>
  <c r="AF78" i="2"/>
  <c r="AE78" i="2"/>
  <c r="AD78" i="2"/>
  <c r="AC78" i="2"/>
  <c r="A78" i="2"/>
  <c r="AV77" i="2"/>
  <c r="AU77" i="2"/>
  <c r="AH77" i="2"/>
  <c r="AG77" i="2"/>
  <c r="AF77" i="2"/>
  <c r="AE77" i="2"/>
  <c r="AD77" i="2"/>
  <c r="AC77" i="2"/>
  <c r="A77" i="2"/>
  <c r="AV76" i="2"/>
  <c r="AU76" i="2"/>
  <c r="AH76" i="2"/>
  <c r="AG76" i="2"/>
  <c r="AF76" i="2"/>
  <c r="AE76" i="2"/>
  <c r="AD76" i="2"/>
  <c r="AC76" i="2"/>
  <c r="A76" i="2"/>
  <c r="AV75" i="2"/>
  <c r="AU75" i="2"/>
  <c r="AH75" i="2"/>
  <c r="AG75" i="2"/>
  <c r="AF75" i="2"/>
  <c r="AE75" i="2"/>
  <c r="AD75" i="2"/>
  <c r="AC75" i="2"/>
  <c r="A75" i="2"/>
  <c r="AV74" i="2"/>
  <c r="AU74" i="2"/>
  <c r="AH74" i="2"/>
  <c r="AG74" i="2"/>
  <c r="AF74" i="2"/>
  <c r="AE74" i="2"/>
  <c r="AD74" i="2"/>
  <c r="AC74" i="2"/>
  <c r="A74" i="2"/>
  <c r="AV73" i="2"/>
  <c r="AU73" i="2"/>
  <c r="AH73" i="2"/>
  <c r="AG73" i="2"/>
  <c r="AF73" i="2"/>
  <c r="AE73" i="2"/>
  <c r="AD73" i="2"/>
  <c r="AC73" i="2"/>
  <c r="A73" i="2"/>
  <c r="AV72" i="2"/>
  <c r="AU72" i="2"/>
  <c r="AH72" i="2"/>
  <c r="AG72" i="2"/>
  <c r="AF72" i="2"/>
  <c r="AE72" i="2"/>
  <c r="AD72" i="2"/>
  <c r="AC72" i="2"/>
  <c r="A72" i="2"/>
  <c r="AV71" i="2"/>
  <c r="AU71" i="2"/>
  <c r="AH71" i="2"/>
  <c r="AG71" i="2"/>
  <c r="AF71" i="2"/>
  <c r="AE71" i="2"/>
  <c r="AD71" i="2"/>
  <c r="AC71" i="2"/>
  <c r="A71" i="2"/>
  <c r="AV70" i="2"/>
  <c r="AU70" i="2"/>
  <c r="AH70" i="2"/>
  <c r="AG70" i="2"/>
  <c r="AF70" i="2"/>
  <c r="AE70" i="2"/>
  <c r="AD70" i="2"/>
  <c r="AC70" i="2"/>
  <c r="A70" i="2"/>
  <c r="AV69" i="2"/>
  <c r="AU69" i="2"/>
  <c r="AH69" i="2"/>
  <c r="AG69" i="2"/>
  <c r="AF69" i="2"/>
  <c r="AE69" i="2"/>
  <c r="AD69" i="2"/>
  <c r="AC69" i="2"/>
  <c r="A69" i="2"/>
  <c r="AV68" i="2"/>
  <c r="AU68" i="2"/>
  <c r="AH68" i="2"/>
  <c r="AG68" i="2"/>
  <c r="AF68" i="2"/>
  <c r="AE68" i="2"/>
  <c r="AD68" i="2"/>
  <c r="AC68" i="2"/>
  <c r="A68" i="2"/>
  <c r="AV67" i="2"/>
  <c r="AU67" i="2"/>
  <c r="AH67" i="2"/>
  <c r="AG67" i="2"/>
  <c r="AF67" i="2"/>
  <c r="AE67" i="2"/>
  <c r="AD67" i="2"/>
  <c r="AC67" i="2"/>
  <c r="A67" i="2"/>
  <c r="AV66" i="2"/>
  <c r="AU66" i="2"/>
  <c r="AH66" i="2"/>
  <c r="AG66" i="2"/>
  <c r="AF66" i="2"/>
  <c r="AE66" i="2"/>
  <c r="AD66" i="2"/>
  <c r="AC66" i="2"/>
  <c r="A66" i="2"/>
  <c r="AV65" i="2"/>
  <c r="AU65" i="2"/>
  <c r="AH65" i="2"/>
  <c r="AG65" i="2"/>
  <c r="AF65" i="2"/>
  <c r="AE65" i="2"/>
  <c r="AD65" i="2"/>
  <c r="AC65" i="2"/>
  <c r="A65" i="2"/>
  <c r="AV64" i="2"/>
  <c r="AU64" i="2"/>
  <c r="AH64" i="2"/>
  <c r="AG64" i="2"/>
  <c r="AF64" i="2"/>
  <c r="AE64" i="2"/>
  <c r="AD64" i="2"/>
  <c r="AC64" i="2"/>
  <c r="A64" i="2"/>
  <c r="AV63" i="2"/>
  <c r="AU63" i="2"/>
  <c r="AH63" i="2"/>
  <c r="AG63" i="2"/>
  <c r="AF63" i="2"/>
  <c r="AE63" i="2"/>
  <c r="AD63" i="2"/>
  <c r="AC63" i="2"/>
  <c r="A63" i="2"/>
  <c r="AV62" i="2"/>
  <c r="AU62" i="2"/>
  <c r="AH62" i="2"/>
  <c r="AG62" i="2"/>
  <c r="AF62" i="2"/>
  <c r="AE62" i="2"/>
  <c r="AD62" i="2"/>
  <c r="AC62" i="2"/>
  <c r="A62" i="2"/>
  <c r="AV61" i="2"/>
  <c r="AU61" i="2"/>
  <c r="AH61" i="2"/>
  <c r="AG61" i="2"/>
  <c r="AF61" i="2"/>
  <c r="AE61" i="2"/>
  <c r="AD61" i="2"/>
  <c r="AC61" i="2"/>
  <c r="A61" i="2"/>
  <c r="AV60" i="2"/>
  <c r="AU60" i="2"/>
  <c r="AH60" i="2"/>
  <c r="AG60" i="2"/>
  <c r="AF60" i="2"/>
  <c r="AE60" i="2"/>
  <c r="AD60" i="2"/>
  <c r="AC60" i="2"/>
  <c r="A60" i="2"/>
  <c r="AV59" i="2"/>
  <c r="AU59" i="2"/>
  <c r="AH59" i="2"/>
  <c r="AG59" i="2"/>
  <c r="AF59" i="2"/>
  <c r="AE59" i="2"/>
  <c r="AD59" i="2"/>
  <c r="AC59" i="2"/>
  <c r="A59" i="2"/>
  <c r="AV58" i="2"/>
  <c r="AF58" i="2"/>
  <c r="AE58" i="2"/>
  <c r="AD58" i="2"/>
  <c r="AC58" i="2"/>
  <c r="A58" i="2"/>
  <c r="AV57" i="2"/>
  <c r="AE57" i="2"/>
  <c r="AD57" i="2"/>
  <c r="AC57" i="2"/>
  <c r="A57" i="2"/>
  <c r="AV56" i="2"/>
  <c r="AU56" i="2"/>
  <c r="AD56" i="2"/>
  <c r="AC56" i="2"/>
  <c r="A56" i="2"/>
  <c r="AV55" i="2"/>
  <c r="AU55" i="2"/>
  <c r="AH55" i="2"/>
  <c r="AG55" i="2"/>
  <c r="AF55" i="2"/>
  <c r="AE55" i="2"/>
  <c r="AD55" i="2"/>
  <c r="AC55" i="2"/>
  <c r="A55" i="2"/>
  <c r="AV54" i="2"/>
  <c r="AU54" i="2"/>
  <c r="AH54" i="2"/>
  <c r="AG54" i="2"/>
  <c r="AF54" i="2"/>
  <c r="AE54" i="2"/>
  <c r="AD54" i="2"/>
  <c r="AC54" i="2"/>
  <c r="A54" i="2"/>
  <c r="AV53" i="2"/>
  <c r="AU53" i="2"/>
  <c r="AH53" i="2"/>
  <c r="AG53" i="2"/>
  <c r="AF53" i="2"/>
  <c r="AE53" i="2"/>
  <c r="AD53" i="2"/>
  <c r="AC53" i="2"/>
  <c r="A53" i="2"/>
  <c r="AV52" i="2"/>
  <c r="AU52" i="2"/>
  <c r="AH52" i="2"/>
  <c r="AG52" i="2"/>
  <c r="AF52" i="2"/>
  <c r="AE52" i="2"/>
  <c r="AD52" i="2"/>
  <c r="AC52" i="2"/>
  <c r="A52" i="2"/>
  <c r="AV51" i="2"/>
  <c r="AV50" i="2"/>
  <c r="AU50" i="2"/>
  <c r="AV49" i="2"/>
  <c r="AU49" i="2"/>
  <c r="AH49" i="2"/>
  <c r="AG49" i="2"/>
  <c r="AV48" i="2"/>
  <c r="AH48" i="2"/>
  <c r="AG48" i="2"/>
  <c r="AF48" i="2"/>
  <c r="AE48" i="2"/>
  <c r="AV47" i="2"/>
  <c r="AU47" i="2"/>
  <c r="AH47" i="2"/>
  <c r="AG47" i="2"/>
  <c r="AF47" i="2"/>
  <c r="AE47" i="2"/>
  <c r="AD47" i="2"/>
  <c r="AC47" i="2"/>
  <c r="AV46" i="2"/>
  <c r="AF46" i="2"/>
  <c r="AE46" i="2"/>
  <c r="AD46" i="2"/>
  <c r="AC46" i="2"/>
  <c r="A46" i="2"/>
  <c r="AV45" i="2"/>
  <c r="AE45" i="2"/>
  <c r="AD45" i="2"/>
  <c r="AC45" i="2"/>
  <c r="A45" i="2"/>
  <c r="AV44" i="2"/>
  <c r="AU44" i="2"/>
  <c r="AD44" i="2"/>
  <c r="AC44" i="2"/>
  <c r="A44" i="2"/>
  <c r="AV43" i="2"/>
  <c r="AU43" i="2"/>
  <c r="AH43" i="2"/>
  <c r="AG43" i="2"/>
  <c r="AF43" i="2"/>
  <c r="AE43" i="2"/>
  <c r="AD43" i="2"/>
  <c r="AC43" i="2"/>
  <c r="A43" i="2"/>
  <c r="AV42" i="2"/>
  <c r="AU42" i="2"/>
  <c r="AH42" i="2"/>
  <c r="AG42" i="2"/>
  <c r="AF42" i="2"/>
  <c r="AE42" i="2"/>
  <c r="AD42" i="2"/>
  <c r="AC42" i="2"/>
  <c r="A42" i="2"/>
  <c r="AV41" i="2"/>
  <c r="AU41" i="2"/>
  <c r="AH41" i="2"/>
  <c r="AG41" i="2"/>
  <c r="AF41" i="2"/>
  <c r="AE41" i="2"/>
  <c r="AD41" i="2"/>
  <c r="AC41" i="2"/>
  <c r="A41" i="2"/>
  <c r="AV40" i="2"/>
  <c r="AU40" i="2"/>
  <c r="AH40" i="2"/>
  <c r="AG40" i="2"/>
  <c r="AF40" i="2"/>
  <c r="AE40" i="2"/>
  <c r="AD40" i="2"/>
  <c r="AC40" i="2"/>
  <c r="A40" i="2"/>
  <c r="AV39" i="2"/>
  <c r="AV38" i="2"/>
  <c r="AU38" i="2"/>
  <c r="AV37" i="2"/>
  <c r="AU37" i="2"/>
  <c r="AH37" i="2"/>
  <c r="AG37" i="2"/>
  <c r="AV36" i="2"/>
  <c r="AH36" i="2"/>
  <c r="AG36" i="2"/>
  <c r="AF36" i="2"/>
  <c r="AE36" i="2"/>
  <c r="AV35" i="2"/>
  <c r="AU35" i="2"/>
  <c r="AH35" i="2"/>
  <c r="AG35" i="2"/>
  <c r="AF35" i="2"/>
  <c r="AE35" i="2"/>
  <c r="AD35" i="2"/>
  <c r="AC35" i="2"/>
  <c r="AV34" i="2"/>
  <c r="AF34" i="2"/>
  <c r="AE34" i="2"/>
  <c r="AD34" i="2"/>
  <c r="AC34" i="2"/>
  <c r="A34" i="2"/>
  <c r="AV33" i="2"/>
  <c r="AE33" i="2"/>
  <c r="AD33" i="2"/>
  <c r="AC33" i="2"/>
  <c r="A33" i="2"/>
  <c r="AV32" i="2"/>
  <c r="AU32" i="2"/>
  <c r="AD32" i="2"/>
  <c r="AC32" i="2"/>
  <c r="A32" i="2"/>
  <c r="AV31" i="2"/>
  <c r="AU31" i="2"/>
  <c r="AH31" i="2"/>
  <c r="AG31" i="2"/>
  <c r="AF31" i="2"/>
  <c r="AE31" i="2"/>
  <c r="AD31" i="2"/>
  <c r="AC31" i="2"/>
  <c r="A31" i="2"/>
  <c r="AV30" i="2"/>
  <c r="AU30" i="2"/>
  <c r="AH30" i="2"/>
  <c r="AG30" i="2"/>
  <c r="AF30" i="2"/>
  <c r="AE30" i="2"/>
  <c r="AD30" i="2"/>
  <c r="AC30" i="2"/>
  <c r="A30" i="2"/>
  <c r="AV29" i="2"/>
  <c r="AU29" i="2"/>
  <c r="AH29" i="2"/>
  <c r="AG29" i="2"/>
  <c r="AF29" i="2"/>
  <c r="AE29" i="2"/>
  <c r="AD29" i="2"/>
  <c r="AC29" i="2"/>
  <c r="A29" i="2"/>
  <c r="AV28" i="2"/>
  <c r="AU28" i="2"/>
  <c r="AH28" i="2"/>
  <c r="AG28" i="2"/>
  <c r="AF28" i="2"/>
  <c r="AE28" i="2"/>
  <c r="AD28" i="2"/>
  <c r="AC28" i="2"/>
  <c r="A28" i="2"/>
  <c r="AV27" i="2"/>
  <c r="AV26" i="2"/>
  <c r="AU26" i="2"/>
  <c r="AV25" i="2"/>
  <c r="AU25" i="2"/>
  <c r="AH25" i="2"/>
  <c r="AG25" i="2"/>
  <c r="AV24" i="2"/>
  <c r="AH24" i="2"/>
  <c r="AG24" i="2"/>
  <c r="AF24" i="2"/>
  <c r="AE24" i="2"/>
  <c r="AV23" i="2"/>
  <c r="AU23" i="2"/>
  <c r="AH23" i="2"/>
  <c r="AG23" i="2"/>
  <c r="AF23" i="2"/>
  <c r="AE23" i="2"/>
  <c r="AD23" i="2"/>
  <c r="AC23" i="2"/>
  <c r="AV22" i="2"/>
  <c r="AF22" i="2"/>
  <c r="AE22" i="2"/>
  <c r="AD22" i="2"/>
  <c r="AC22" i="2"/>
  <c r="A22" i="2"/>
  <c r="AV21" i="2"/>
  <c r="AE21" i="2"/>
  <c r="AD21" i="2"/>
  <c r="AC21" i="2"/>
  <c r="A21" i="2"/>
  <c r="AV20" i="2"/>
  <c r="AU20" i="2"/>
  <c r="AD20" i="2"/>
  <c r="AC20" i="2"/>
  <c r="A20" i="2"/>
  <c r="AV19" i="2"/>
  <c r="AU19" i="2"/>
  <c r="AH19" i="2"/>
  <c r="AG19" i="2"/>
  <c r="AF19" i="2"/>
  <c r="AE19" i="2"/>
  <c r="AD19" i="2"/>
  <c r="AC19" i="2"/>
  <c r="A19" i="2"/>
  <c r="AV18" i="2"/>
  <c r="AU18" i="2"/>
  <c r="AH18" i="2"/>
  <c r="AG18" i="2"/>
  <c r="AF18" i="2"/>
  <c r="AE18" i="2"/>
  <c r="AD18" i="2"/>
  <c r="AC18" i="2"/>
  <c r="A18" i="2"/>
  <c r="AV17" i="2"/>
  <c r="AU17" i="2"/>
  <c r="AH17" i="2"/>
  <c r="AG17" i="2"/>
  <c r="AF17" i="2"/>
  <c r="AE17" i="2"/>
  <c r="AD17" i="2"/>
  <c r="AC17" i="2"/>
  <c r="A17" i="2"/>
  <c r="AV16" i="2"/>
  <c r="AU16" i="2"/>
  <c r="AH16" i="2"/>
  <c r="AG16" i="2"/>
  <c r="AF16" i="2"/>
  <c r="AE16" i="2"/>
  <c r="AD16" i="2"/>
  <c r="AC16" i="2"/>
  <c r="A16" i="2"/>
  <c r="AV15" i="2"/>
  <c r="AV14" i="2"/>
  <c r="AU14" i="2"/>
  <c r="AV13" i="2"/>
  <c r="AU13" i="2"/>
  <c r="AH13" i="2"/>
  <c r="AG13" i="2"/>
  <c r="AV12" i="2"/>
  <c r="AH12" i="2"/>
  <c r="AG12" i="2"/>
  <c r="AF12" i="2"/>
  <c r="AE12" i="2"/>
  <c r="AV11" i="2"/>
  <c r="AU11" i="2"/>
  <c r="AH11" i="2"/>
  <c r="AG11" i="2"/>
  <c r="AF11" i="2"/>
  <c r="AE11" i="2"/>
  <c r="AD11" i="2"/>
  <c r="AC11" i="2"/>
  <c r="AV10" i="2"/>
  <c r="AF10" i="2"/>
  <c r="AE10" i="2"/>
  <c r="AD10" i="2"/>
  <c r="AC10" i="2"/>
  <c r="A10" i="2"/>
  <c r="AV9" i="2"/>
  <c r="AE9" i="2"/>
  <c r="AD9" i="2"/>
  <c r="AC9" i="2"/>
  <c r="A9" i="2"/>
  <c r="AV8" i="2"/>
  <c r="AU8" i="2"/>
  <c r="AD8" i="2"/>
  <c r="AC8" i="2"/>
  <c r="A8" i="2"/>
  <c r="AV7" i="2"/>
  <c r="AU7" i="2"/>
  <c r="AH7" i="2"/>
  <c r="AG7" i="2"/>
  <c r="AF7" i="2"/>
  <c r="AE7" i="2"/>
  <c r="AD7" i="2"/>
  <c r="AC7" i="2"/>
  <c r="A7" i="2"/>
  <c r="AV6" i="2"/>
  <c r="AU6" i="2"/>
  <c r="AH6" i="2"/>
  <c r="AG6" i="2"/>
  <c r="AF6" i="2"/>
  <c r="AE6" i="2"/>
  <c r="AD6" i="2"/>
  <c r="AC6" i="2"/>
  <c r="A6" i="2"/>
  <c r="AV5" i="2"/>
  <c r="AU5" i="2"/>
  <c r="AH5" i="2"/>
  <c r="AG5" i="2"/>
  <c r="AF5" i="2"/>
  <c r="AE5" i="2"/>
  <c r="AD5" i="2"/>
  <c r="AC5" i="2"/>
  <c r="A5" i="2"/>
  <c r="B2" i="24"/>
  <c r="C5" i="24"/>
  <c r="C5" i="27"/>
  <c r="B2" i="27"/>
  <c r="F140" i="2" l="1"/>
  <c r="F1" i="2"/>
  <c r="B3" i="27"/>
  <c r="B3" i="24"/>
  <c r="AR34" i="23"/>
  <c r="BD34" i="23"/>
  <c r="AR35" i="23"/>
  <c r="BD35" i="23"/>
  <c r="AH34" i="23"/>
  <c r="AT34" i="23"/>
  <c r="BF34" i="23"/>
  <c r="AH35" i="23"/>
  <c r="AT35" i="23"/>
  <c r="BF35" i="23"/>
  <c r="AJ34" i="23"/>
  <c r="AV34" i="23"/>
  <c r="AJ35" i="23"/>
  <c r="AV35" i="23"/>
  <c r="AL34" i="23"/>
  <c r="AX34" i="23"/>
  <c r="BH26" i="23"/>
  <c r="AL35" i="23"/>
  <c r="AX35" i="23"/>
  <c r="BH30" i="23"/>
  <c r="AI34" i="23"/>
  <c r="AQ34" i="23"/>
  <c r="AY34" i="23"/>
  <c r="BG34" i="23"/>
  <c r="AI35" i="23"/>
  <c r="AM35" i="23"/>
  <c r="AU35" i="23"/>
  <c r="BG35" i="23"/>
  <c r="BH24" i="23"/>
  <c r="BH32" i="23"/>
  <c r="AM34" i="23"/>
  <c r="AU34" i="23"/>
  <c r="BC34" i="23"/>
  <c r="AQ35" i="23"/>
  <c r="AY35" i="23"/>
  <c r="BC35" i="23"/>
  <c r="BH23" i="23"/>
  <c r="AK34" i="23"/>
  <c r="AO34" i="23"/>
  <c r="AS34" i="23"/>
  <c r="AW34" i="23"/>
  <c r="BA34" i="23"/>
  <c r="BE34" i="23"/>
  <c r="BH25" i="23"/>
  <c r="BH27" i="23"/>
  <c r="AG35" i="23"/>
  <c r="AK35" i="23"/>
  <c r="AO35" i="23"/>
  <c r="AS35" i="23"/>
  <c r="AW35" i="23"/>
  <c r="BA35" i="23"/>
  <c r="BE35" i="23"/>
  <c r="BH31" i="23"/>
  <c r="BH33" i="23"/>
  <c r="D41" i="4"/>
  <c r="A40" i="8" s="1"/>
  <c r="D45" i="4"/>
  <c r="A44" i="8" s="1"/>
  <c r="D49" i="4"/>
  <c r="A48" i="8" s="1"/>
  <c r="BH28" i="23"/>
  <c r="D42" i="4"/>
  <c r="A41" i="8" s="1"/>
  <c r="D46" i="4"/>
  <c r="A45" i="8" s="1"/>
  <c r="D50" i="4"/>
  <c r="A49" i="8" s="1"/>
  <c r="BH29" i="23"/>
  <c r="D39" i="4"/>
  <c r="A38" i="8" s="1"/>
  <c r="D43" i="4"/>
  <c r="A42" i="8" s="1"/>
  <c r="D47" i="4"/>
  <c r="A46" i="8" s="1"/>
  <c r="BH22" i="23"/>
  <c r="AG34" i="23"/>
  <c r="F127" i="2"/>
  <c r="A128" i="2"/>
  <c r="P128" i="2" s="1"/>
  <c r="P3" i="2" s="1"/>
  <c r="D40" i="4"/>
  <c r="A39" i="8" s="1"/>
  <c r="D44" i="4"/>
  <c r="A43" i="8" s="1"/>
  <c r="D48" i="4"/>
  <c r="A47" i="8" s="1"/>
  <c r="AG126" i="2"/>
  <c r="B127" i="2"/>
  <c r="AH126" i="2"/>
  <c r="AE126" i="2"/>
  <c r="AC126" i="2"/>
  <c r="AF126" i="2"/>
  <c r="AD126" i="2"/>
  <c r="A15" i="2"/>
  <c r="AU36" i="2"/>
  <c r="A50" i="2"/>
  <c r="A39" i="2"/>
  <c r="A51" i="2"/>
  <c r="AC39" i="2"/>
  <c r="AC26" i="2"/>
  <c r="AE27" i="2"/>
  <c r="AG34" i="2"/>
  <c r="AG58" i="2"/>
  <c r="AE8" i="2"/>
  <c r="AG9" i="2"/>
  <c r="AU10" i="2"/>
  <c r="A12" i="2"/>
  <c r="AC13" i="2"/>
  <c r="AE14" i="2"/>
  <c r="AG15" i="2"/>
  <c r="AU34" i="2"/>
  <c r="AC37" i="2"/>
  <c r="AG39" i="2"/>
  <c r="AU46" i="2"/>
  <c r="AE56" i="2"/>
  <c r="AG57" i="2"/>
  <c r="AU58" i="2"/>
  <c r="A26" i="2"/>
  <c r="AC27" i="2"/>
  <c r="A38" i="2"/>
  <c r="AC51" i="2"/>
  <c r="AD15" i="2"/>
  <c r="AD27" i="2"/>
  <c r="AD39" i="2"/>
  <c r="AG10" i="2"/>
  <c r="A49" i="2"/>
  <c r="AC50" i="2"/>
  <c r="AE51" i="2"/>
  <c r="AE20" i="2"/>
  <c r="AG21" i="2"/>
  <c r="AU22" i="2"/>
  <c r="A24" i="2"/>
  <c r="AC25" i="2"/>
  <c r="AE26" i="2"/>
  <c r="AG27" i="2"/>
  <c r="AE32" i="2"/>
  <c r="A36" i="2"/>
  <c r="AE38" i="2"/>
  <c r="AE44" i="2"/>
  <c r="AG45" i="2"/>
  <c r="A48" i="2"/>
  <c r="AC49" i="2"/>
  <c r="AE50" i="2"/>
  <c r="AG51" i="2"/>
  <c r="AF8" i="2"/>
  <c r="AH9" i="2"/>
  <c r="AD13" i="2"/>
  <c r="AF14" i="2"/>
  <c r="AH15" i="2"/>
  <c r="AF20" i="2"/>
  <c r="AH21" i="2"/>
  <c r="AD25" i="2"/>
  <c r="AF26" i="2"/>
  <c r="AH27" i="2"/>
  <c r="AF32" i="2"/>
  <c r="AH33" i="2"/>
  <c r="AD37" i="2"/>
  <c r="AF38" i="2"/>
  <c r="AH39" i="2"/>
  <c r="AF44" i="2"/>
  <c r="AH45" i="2"/>
  <c r="AD49" i="2"/>
  <c r="AF50" i="2"/>
  <c r="AH51" i="2"/>
  <c r="AF56" i="2"/>
  <c r="AH57" i="2"/>
  <c r="AU12" i="2"/>
  <c r="A14" i="2"/>
  <c r="AC15" i="2"/>
  <c r="AU24" i="2"/>
  <c r="AD51" i="2"/>
  <c r="A13" i="2"/>
  <c r="AC14" i="2"/>
  <c r="AE15" i="2"/>
  <c r="AG22" i="2"/>
  <c r="A25" i="2"/>
  <c r="AG46" i="2"/>
  <c r="AF9" i="2"/>
  <c r="AD14" i="2"/>
  <c r="AF21" i="2"/>
  <c r="AF27" i="2"/>
  <c r="AF33" i="2"/>
  <c r="AD38" i="2"/>
  <c r="AF39" i="2"/>
  <c r="AF45" i="2"/>
  <c r="AD50" i="2"/>
  <c r="AF51" i="2"/>
  <c r="AF57" i="2"/>
  <c r="AG33" i="2"/>
  <c r="AG20" i="2"/>
  <c r="AC24" i="2"/>
  <c r="AE25" i="2"/>
  <c r="AG26" i="2"/>
  <c r="AU27" i="2"/>
  <c r="AG32" i="2"/>
  <c r="AC36" i="2"/>
  <c r="AE37" i="2"/>
  <c r="AG38" i="2"/>
  <c r="AU39" i="2"/>
  <c r="AG44" i="2"/>
  <c r="AC48" i="2"/>
  <c r="AE49" i="2"/>
  <c r="AG50" i="2"/>
  <c r="AG56" i="2"/>
  <c r="AU48" i="2"/>
  <c r="A37" i="2"/>
  <c r="AC38" i="2"/>
  <c r="AF15" i="2"/>
  <c r="AD26" i="2"/>
  <c r="AG8" i="2"/>
  <c r="AC12" i="2"/>
  <c r="AE13" i="2"/>
  <c r="AG14" i="2"/>
  <c r="Y126" i="2"/>
  <c r="Y2" i="2" s="1"/>
  <c r="A208" i="8"/>
  <c r="A224" i="8" s="1"/>
  <c r="Q113" i="6"/>
  <c r="R113" i="6" s="1"/>
  <c r="R117" i="6" s="1"/>
  <c r="Q121" i="6"/>
  <c r="R122" i="6" s="1"/>
  <c r="A169" i="6"/>
  <c r="E5" i="4" l="1"/>
  <c r="AS36" i="23"/>
  <c r="AV36" i="23"/>
  <c r="AM36" i="23"/>
  <c r="AJ36" i="23"/>
  <c r="I30" i="4"/>
  <c r="F47" i="6" s="1"/>
  <c r="F97" i="6" s="1"/>
  <c r="P49" i="4"/>
  <c r="M48" i="8" s="1"/>
  <c r="I49" i="4"/>
  <c r="F48" i="8" s="1"/>
  <c r="AU36" i="23"/>
  <c r="BF36" i="23"/>
  <c r="AG36" i="23"/>
  <c r="AT36" i="23"/>
  <c r="AH36" i="23"/>
  <c r="AX36" i="23"/>
  <c r="AL36" i="23"/>
  <c r="BD36" i="23"/>
  <c r="AR36" i="23"/>
  <c r="R6" i="4"/>
  <c r="O41" i="5" s="1"/>
  <c r="AE15" i="4"/>
  <c r="AB50" i="5" s="1"/>
  <c r="F40" i="4"/>
  <c r="C39" i="8" s="1"/>
  <c r="M8" i="4"/>
  <c r="J43" i="5" s="1"/>
  <c r="Y6" i="4"/>
  <c r="V41" i="5" s="1"/>
  <c r="BG36" i="23"/>
  <c r="AA7" i="4"/>
  <c r="X42" i="5" s="1"/>
  <c r="G15" i="4"/>
  <c r="D50" i="5" s="1"/>
  <c r="L6" i="4"/>
  <c r="I41" i="5" s="1"/>
  <c r="E28" i="4"/>
  <c r="B45" i="6" s="1"/>
  <c r="B95" i="6" s="1"/>
  <c r="F6" i="4"/>
  <c r="C41" i="5" s="1"/>
  <c r="O45" i="4"/>
  <c r="L44" i="8" s="1"/>
  <c r="AC39" i="4"/>
  <c r="Z38" i="8" s="1"/>
  <c r="I31" i="4"/>
  <c r="F48" i="6" s="1"/>
  <c r="F98" i="6" s="1"/>
  <c r="BE36" i="23"/>
  <c r="AO36" i="23"/>
  <c r="AY36" i="23"/>
  <c r="AC6" i="4"/>
  <c r="Z41" i="5" s="1"/>
  <c r="J6" i="4"/>
  <c r="G41" i="5" s="1"/>
  <c r="K50" i="4"/>
  <c r="H49" i="8" s="1"/>
  <c r="V8" i="4"/>
  <c r="S43" i="5" s="1"/>
  <c r="Z12" i="4"/>
  <c r="W47" i="5" s="1"/>
  <c r="Y31" i="4"/>
  <c r="V48" i="6" s="1"/>
  <c r="V98" i="6" s="1"/>
  <c r="H50" i="4"/>
  <c r="E49" i="8" s="1"/>
  <c r="AA33" i="4"/>
  <c r="X50" i="6" s="1"/>
  <c r="X100" i="6" s="1"/>
  <c r="BH34" i="23"/>
  <c r="BA36" i="23"/>
  <c r="AK36" i="23"/>
  <c r="AQ36" i="23"/>
  <c r="P6" i="4"/>
  <c r="M41" i="5" s="1"/>
  <c r="Y23" i="4"/>
  <c r="V40" i="6" s="1"/>
  <c r="V90" i="6" s="1"/>
  <c r="L46" i="4"/>
  <c r="I45" i="8" s="1"/>
  <c r="W7" i="4"/>
  <c r="T42" i="5" s="1"/>
  <c r="G10" i="4"/>
  <c r="D45" i="5" s="1"/>
  <c r="Q33" i="4"/>
  <c r="N50" i="6" s="1"/>
  <c r="N100" i="6" s="1"/>
  <c r="AD44" i="4"/>
  <c r="AA43" i="8" s="1"/>
  <c r="M45" i="4"/>
  <c r="J44" i="8" s="1"/>
  <c r="AW36" i="23"/>
  <c r="BC36" i="23"/>
  <c r="AI36" i="23"/>
  <c r="S29" i="4"/>
  <c r="P46" i="6" s="1"/>
  <c r="P96" i="6" s="1"/>
  <c r="H128" i="2"/>
  <c r="H3" i="2" s="1"/>
  <c r="R128" i="2"/>
  <c r="R3" i="2" s="1"/>
  <c r="F28" i="4"/>
  <c r="C45" i="6" s="1"/>
  <c r="C95" i="6" s="1"/>
  <c r="K128" i="2"/>
  <c r="K3" i="2" s="1"/>
  <c r="O128" i="2"/>
  <c r="O3" i="2" s="1"/>
  <c r="R40" i="4"/>
  <c r="O39" i="8" s="1"/>
  <c r="BH35" i="23"/>
  <c r="BH36" i="23" s="1"/>
  <c r="D128" i="2"/>
  <c r="D3" i="2" s="1"/>
  <c r="AD13" i="4"/>
  <c r="AA48" i="5" s="1"/>
  <c r="AC10" i="4"/>
  <c r="Z45" i="5" s="1"/>
  <c r="H13" i="4"/>
  <c r="E48" i="5" s="1"/>
  <c r="K8" i="4"/>
  <c r="H43" i="5" s="1"/>
  <c r="V13" i="4"/>
  <c r="S48" i="5" s="1"/>
  <c r="O22" i="4"/>
  <c r="L39" i="6" s="1"/>
  <c r="F22" i="4"/>
  <c r="C39" i="6" s="1"/>
  <c r="U9" i="4"/>
  <c r="R44" i="5" s="1"/>
  <c r="O16" i="4"/>
  <c r="L51" i="5" s="1"/>
  <c r="E24" i="4"/>
  <c r="B41" i="6" s="1"/>
  <c r="B91" i="6" s="1"/>
  <c r="R24" i="4"/>
  <c r="O41" i="6" s="1"/>
  <c r="O91" i="6" s="1"/>
  <c r="P25" i="4"/>
  <c r="M42" i="6" s="1"/>
  <c r="M92" i="6" s="1"/>
  <c r="N44" i="4"/>
  <c r="K43" i="8" s="1"/>
  <c r="S48" i="4"/>
  <c r="P47" i="8" s="1"/>
  <c r="N27" i="4"/>
  <c r="K44" i="6" s="1"/>
  <c r="K94" i="6" s="1"/>
  <c r="AC45" i="4"/>
  <c r="Z44" i="8" s="1"/>
  <c r="O23" i="4"/>
  <c r="L40" i="6" s="1"/>
  <c r="L90" i="6" s="1"/>
  <c r="E6" i="4"/>
  <c r="B41" i="5" s="1"/>
  <c r="F128" i="2"/>
  <c r="Q128" i="2"/>
  <c r="Q3" i="2" s="1"/>
  <c r="J128" i="2"/>
  <c r="J3" i="2" s="1"/>
  <c r="C128" i="2"/>
  <c r="C3" i="2" s="1"/>
  <c r="L128" i="2"/>
  <c r="L3" i="2" s="1"/>
  <c r="I128" i="2"/>
  <c r="I3" i="2" s="1"/>
  <c r="S128" i="2"/>
  <c r="S3" i="2" s="1"/>
  <c r="M128" i="2"/>
  <c r="M3" i="2" s="1"/>
  <c r="AC22" i="4"/>
  <c r="Z39" i="6" s="1"/>
  <c r="J13" i="4"/>
  <c r="G48" i="5" s="1"/>
  <c r="N15" i="4"/>
  <c r="K50" i="5" s="1"/>
  <c r="AB9" i="4"/>
  <c r="Y44" i="5" s="1"/>
  <c r="P11" i="4"/>
  <c r="M46" i="5" s="1"/>
  <c r="Y7" i="4"/>
  <c r="V42" i="5" s="1"/>
  <c r="F13" i="4"/>
  <c r="C48" i="5" s="1"/>
  <c r="AC15" i="4"/>
  <c r="Z50" i="5" s="1"/>
  <c r="AA16" i="4"/>
  <c r="X51" i="5" s="1"/>
  <c r="G9" i="4"/>
  <c r="D44" i="5" s="1"/>
  <c r="R15" i="4"/>
  <c r="O50" i="5" s="1"/>
  <c r="Q24" i="4"/>
  <c r="N41" i="6" s="1"/>
  <c r="N91" i="6" s="1"/>
  <c r="AD24" i="4"/>
  <c r="AA41" i="6" s="1"/>
  <c r="AA91" i="6" s="1"/>
  <c r="AB25" i="4"/>
  <c r="Y42" i="6" s="1"/>
  <c r="Y92" i="6" s="1"/>
  <c r="S22" i="4"/>
  <c r="P39" i="6" s="1"/>
  <c r="N9" i="4"/>
  <c r="K44" i="5" s="1"/>
  <c r="J28" i="4"/>
  <c r="G45" i="6" s="1"/>
  <c r="G95" i="6" s="1"/>
  <c r="Y46" i="4"/>
  <c r="V45" i="8" s="1"/>
  <c r="E128" i="2"/>
  <c r="E3" i="2" s="1"/>
  <c r="N128" i="2"/>
  <c r="N3" i="2" s="1"/>
  <c r="G128" i="2"/>
  <c r="G3" i="2" s="1"/>
  <c r="V12" i="4"/>
  <c r="S47" i="5" s="1"/>
  <c r="M29" i="4"/>
  <c r="J46" i="6" s="1"/>
  <c r="J96" i="6" s="1"/>
  <c r="R5" i="4"/>
  <c r="O40" i="5" s="1"/>
  <c r="AC11" i="4"/>
  <c r="Z46" i="5" s="1"/>
  <c r="E41" i="4"/>
  <c r="B40" i="8" s="1"/>
  <c r="X5" i="4"/>
  <c r="U40" i="5" s="1"/>
  <c r="M28" i="4"/>
  <c r="J45" i="6" s="1"/>
  <c r="J95" i="6" s="1"/>
  <c r="R28" i="4"/>
  <c r="O45" i="6" s="1"/>
  <c r="O95" i="6" s="1"/>
  <c r="W49" i="4"/>
  <c r="T48" i="8" s="1"/>
  <c r="I27" i="4"/>
  <c r="F44" i="6" s="1"/>
  <c r="F94" i="6" s="1"/>
  <c r="P9" i="4"/>
  <c r="M44" i="5" s="1"/>
  <c r="Y39" i="4"/>
  <c r="V38" i="8" s="1"/>
  <c r="Q11" i="4"/>
  <c r="N46" i="5" s="1"/>
  <c r="F5" i="4"/>
  <c r="C40" i="5" s="1"/>
  <c r="N6" i="4"/>
  <c r="K41" i="5" s="1"/>
  <c r="W39" i="4"/>
  <c r="T38" i="8" s="1"/>
  <c r="M39" i="4"/>
  <c r="J38" i="8" s="1"/>
  <c r="AB10" i="4"/>
  <c r="Y45" i="5" s="1"/>
  <c r="Z11" i="4"/>
  <c r="W46" i="5" s="1"/>
  <c r="S24" i="4"/>
  <c r="P41" i="6" s="1"/>
  <c r="P91" i="6" s="1"/>
  <c r="J9" i="4"/>
  <c r="G44" i="5" s="1"/>
  <c r="Y32" i="4"/>
  <c r="V49" i="6" s="1"/>
  <c r="V99" i="6" s="1"/>
  <c r="M11" i="4"/>
  <c r="J46" i="5" s="1"/>
  <c r="J43" i="4"/>
  <c r="G42" i="8" s="1"/>
  <c r="T9" i="4"/>
  <c r="Q44" i="5" s="1"/>
  <c r="AA12" i="4"/>
  <c r="X47" i="5" s="1"/>
  <c r="L5" i="4"/>
  <c r="I40" i="5" s="1"/>
  <c r="I40" i="4"/>
  <c r="F39" i="8" s="1"/>
  <c r="E10" i="4"/>
  <c r="B45" i="5" s="1"/>
  <c r="AA14" i="4"/>
  <c r="X49" i="5" s="1"/>
  <c r="I29" i="4"/>
  <c r="F46" i="6" s="1"/>
  <c r="F96" i="6" s="1"/>
  <c r="H44" i="4"/>
  <c r="E43" i="8" s="1"/>
  <c r="R30" i="4"/>
  <c r="O47" i="6" s="1"/>
  <c r="O97" i="6" s="1"/>
  <c r="F50" i="4"/>
  <c r="C49" i="8" s="1"/>
  <c r="X32" i="4"/>
  <c r="U49" i="6" s="1"/>
  <c r="U99" i="6" s="1"/>
  <c r="V30" i="4"/>
  <c r="S47" i="6" s="1"/>
  <c r="S97" i="6" s="1"/>
  <c r="AA32" i="4"/>
  <c r="X49" i="6" s="1"/>
  <c r="X99" i="6" s="1"/>
  <c r="P39" i="4"/>
  <c r="M38" i="8" s="1"/>
  <c r="E23" i="4"/>
  <c r="B40" i="6" s="1"/>
  <c r="B90" i="6" s="1"/>
  <c r="C107" i="6" s="1"/>
  <c r="F12" i="4"/>
  <c r="M14" i="4"/>
  <c r="J49" i="5" s="1"/>
  <c r="T16" i="4"/>
  <c r="Q51" i="5" s="1"/>
  <c r="R46" i="4"/>
  <c r="O45" i="8" s="1"/>
  <c r="Y8" i="4"/>
  <c r="V43" i="5" s="1"/>
  <c r="AE11" i="4"/>
  <c r="AB46" i="5" s="1"/>
  <c r="Q41" i="4"/>
  <c r="N40" i="8" s="1"/>
  <c r="X9" i="4"/>
  <c r="U44" i="5" s="1"/>
  <c r="X11" i="4"/>
  <c r="U46" i="5" s="1"/>
  <c r="V11" i="4"/>
  <c r="S46" i="5" s="1"/>
  <c r="F30" i="4"/>
  <c r="C47" i="6" s="1"/>
  <c r="C97" i="6" s="1"/>
  <c r="AE28" i="4"/>
  <c r="AB45" i="6" s="1"/>
  <c r="AB95" i="6" s="1"/>
  <c r="G45" i="4"/>
  <c r="D44" i="8" s="1"/>
  <c r="E25" i="4"/>
  <c r="B42" i="6" s="1"/>
  <c r="B92" i="6" s="1"/>
  <c r="AD10" i="4"/>
  <c r="AA45" i="5" s="1"/>
  <c r="I33" i="4"/>
  <c r="F50" i="6" s="1"/>
  <c r="F100" i="6" s="1"/>
  <c r="V9" i="4"/>
  <c r="S44" i="5" s="1"/>
  <c r="U30" i="4"/>
  <c r="R47" i="6" s="1"/>
  <c r="R97" i="6" s="1"/>
  <c r="H6" i="4"/>
  <c r="E41" i="5" s="1"/>
  <c r="AC31" i="4"/>
  <c r="Z48" i="6" s="1"/>
  <c r="Z98" i="6" s="1"/>
  <c r="U29" i="4"/>
  <c r="R46" i="6" s="1"/>
  <c r="R96" i="6" s="1"/>
  <c r="AA15" i="4"/>
  <c r="X50" i="5" s="1"/>
  <c r="W33" i="4"/>
  <c r="T50" i="6" s="1"/>
  <c r="T100" i="6" s="1"/>
  <c r="Y24" i="4"/>
  <c r="V41" i="6" s="1"/>
  <c r="V91" i="6" s="1"/>
  <c r="N47" i="4"/>
  <c r="K46" i="8" s="1"/>
  <c r="N8" i="4"/>
  <c r="K43" i="5" s="1"/>
  <c r="M15" i="4"/>
  <c r="J50" i="5" s="1"/>
  <c r="AE24" i="4"/>
  <c r="AB41" i="6" s="1"/>
  <c r="AB91" i="6" s="1"/>
  <c r="Y9" i="4"/>
  <c r="V44" i="5" s="1"/>
  <c r="J8" i="4"/>
  <c r="G43" i="5" s="1"/>
  <c r="Q28" i="4"/>
  <c r="N45" i="6" s="1"/>
  <c r="N95" i="6" s="1"/>
  <c r="J10" i="4"/>
  <c r="G45" i="5" s="1"/>
  <c r="S30" i="4"/>
  <c r="P47" i="6" s="1"/>
  <c r="P97" i="6" s="1"/>
  <c r="L49" i="4"/>
  <c r="I48" i="8" s="1"/>
  <c r="K11" i="4"/>
  <c r="H46" i="5" s="1"/>
  <c r="U40" i="4"/>
  <c r="R39" i="8" s="1"/>
  <c r="Y29" i="4"/>
  <c r="V46" i="6" s="1"/>
  <c r="V96" i="6" s="1"/>
  <c r="P8" i="4"/>
  <c r="M43" i="5" s="1"/>
  <c r="I16" i="4"/>
  <c r="F51" i="5" s="1"/>
  <c r="Q30" i="4"/>
  <c r="N47" i="6" s="1"/>
  <c r="N97" i="6" s="1"/>
  <c r="J45" i="4"/>
  <c r="G44" i="8" s="1"/>
  <c r="Z31" i="4"/>
  <c r="W48" i="6" s="1"/>
  <c r="W98" i="6" s="1"/>
  <c r="P22" i="4"/>
  <c r="M39" i="6" s="1"/>
  <c r="P41" i="4"/>
  <c r="M40" i="8" s="1"/>
  <c r="V33" i="4"/>
  <c r="S50" i="6" s="1"/>
  <c r="S100" i="6" s="1"/>
  <c r="O39" i="4"/>
  <c r="L38" i="8" s="1"/>
  <c r="X40" i="4"/>
  <c r="U39" i="8" s="1"/>
  <c r="E26" i="4"/>
  <c r="B43" i="6" s="1"/>
  <c r="B93" i="6" s="1"/>
  <c r="O13" i="4"/>
  <c r="L48" i="5" s="1"/>
  <c r="S23" i="4"/>
  <c r="P40" i="6" s="1"/>
  <c r="P90" i="6" s="1"/>
  <c r="AB33" i="4"/>
  <c r="Y50" i="6" s="1"/>
  <c r="Y100" i="6" s="1"/>
  <c r="Z47" i="4"/>
  <c r="W46" i="8" s="1"/>
  <c r="R7" i="4"/>
  <c r="O42" i="5" s="1"/>
  <c r="G11" i="4"/>
  <c r="D46" i="5" s="1"/>
  <c r="S5" i="4"/>
  <c r="P40" i="5" s="1"/>
  <c r="AD9" i="4"/>
  <c r="AA44" i="5" s="1"/>
  <c r="AA6" i="4"/>
  <c r="X41" i="5" s="1"/>
  <c r="AB15" i="4"/>
  <c r="Y50" i="5" s="1"/>
  <c r="AA11" i="4"/>
  <c r="X46" i="5" s="1"/>
  <c r="S13" i="4"/>
  <c r="P48" i="5" s="1"/>
  <c r="M5" i="4"/>
  <c r="J40" i="5" s="1"/>
  <c r="F47" i="4"/>
  <c r="C46" i="8" s="1"/>
  <c r="AB29" i="4"/>
  <c r="Y46" i="6" s="1"/>
  <c r="Y96" i="6" s="1"/>
  <c r="H16" i="4"/>
  <c r="E51" i="5" s="1"/>
  <c r="AA8" i="4"/>
  <c r="X43" i="5" s="1"/>
  <c r="AA22" i="4"/>
  <c r="X39" i="6" s="1"/>
  <c r="AC28" i="4"/>
  <c r="Z45" i="6" s="1"/>
  <c r="Z95" i="6" s="1"/>
  <c r="Q22" i="4"/>
  <c r="N39" i="6" s="1"/>
  <c r="Z10" i="4"/>
  <c r="W45" i="5" s="1"/>
  <c r="Y11" i="4"/>
  <c r="V46" i="5" s="1"/>
  <c r="R9" i="4"/>
  <c r="O44" i="5" s="1"/>
  <c r="W44" i="4"/>
  <c r="T43" i="8" s="1"/>
  <c r="L39" i="4"/>
  <c r="L40" i="4"/>
  <c r="I39" i="8" s="1"/>
  <c r="Y14" i="4"/>
  <c r="V49" i="5" s="1"/>
  <c r="O31" i="4"/>
  <c r="L48" i="6" s="1"/>
  <c r="L98" i="6" s="1"/>
  <c r="AD15" i="4"/>
  <c r="AA50" i="5" s="1"/>
  <c r="P15" i="4"/>
  <c r="M50" i="5" s="1"/>
  <c r="K29" i="4"/>
  <c r="H46" i="6" s="1"/>
  <c r="H96" i="6" s="1"/>
  <c r="AC9" i="4"/>
  <c r="Z44" i="5" s="1"/>
  <c r="X13" i="4"/>
  <c r="U48" i="5" s="1"/>
  <c r="Y10" i="4"/>
  <c r="V45" i="5" s="1"/>
  <c r="J16" i="4"/>
  <c r="G51" i="5" s="1"/>
  <c r="U24" i="4"/>
  <c r="R41" i="6" s="1"/>
  <c r="R91" i="6" s="1"/>
  <c r="K9" i="4"/>
  <c r="H44" i="5" s="1"/>
  <c r="AC14" i="4"/>
  <c r="Z49" i="5" s="1"/>
  <c r="F15" i="4"/>
  <c r="C50" i="5" s="1"/>
  <c r="X7" i="4"/>
  <c r="U42" i="5" s="1"/>
  <c r="M26" i="4"/>
  <c r="J43" i="6" s="1"/>
  <c r="J93" i="6" s="1"/>
  <c r="W9" i="4"/>
  <c r="T44" i="5" s="1"/>
  <c r="O28" i="4"/>
  <c r="L45" i="6" s="1"/>
  <c r="L95" i="6" s="1"/>
  <c r="AE40" i="4"/>
  <c r="AB39" i="8" s="1"/>
  <c r="V10" i="4"/>
  <c r="S45" i="5" s="1"/>
  <c r="K32" i="4"/>
  <c r="H49" i="6" s="1"/>
  <c r="H99" i="6" s="1"/>
  <c r="Q25" i="4"/>
  <c r="N42" i="6" s="1"/>
  <c r="N92" i="6" s="1"/>
  <c r="Q7" i="4"/>
  <c r="N42" i="5" s="1"/>
  <c r="I23" i="4"/>
  <c r="F40" i="6" s="1"/>
  <c r="F90" i="6" s="1"/>
  <c r="AC30" i="4"/>
  <c r="Z47" i="6" s="1"/>
  <c r="Z97" i="6" s="1"/>
  <c r="AE48" i="4"/>
  <c r="AB47" i="8" s="1"/>
  <c r="F33" i="4"/>
  <c r="C50" i="6" s="1"/>
  <c r="C100" i="6" s="1"/>
  <c r="H24" i="4"/>
  <c r="E41" i="6" s="1"/>
  <c r="E91" i="6" s="1"/>
  <c r="AB41" i="4"/>
  <c r="Y40" i="8" s="1"/>
  <c r="AA42" i="4"/>
  <c r="X41" i="8" s="1"/>
  <c r="O43" i="4"/>
  <c r="L42" i="8" s="1"/>
  <c r="P43" i="4"/>
  <c r="M42" i="8" s="1"/>
  <c r="AC29" i="4"/>
  <c r="Z46" i="6" s="1"/>
  <c r="Z96" i="6" s="1"/>
  <c r="F23" i="4"/>
  <c r="C40" i="6" s="1"/>
  <c r="C90" i="6" s="1"/>
  <c r="C108" i="6" s="1"/>
  <c r="O24" i="4"/>
  <c r="L41" i="6" s="1"/>
  <c r="L91" i="6" s="1"/>
  <c r="G44" i="4"/>
  <c r="D43" i="8" s="1"/>
  <c r="H46" i="4"/>
  <c r="E45" i="8" s="1"/>
  <c r="E9" i="4"/>
  <c r="B44" i="5" s="1"/>
  <c r="N7" i="4"/>
  <c r="K42" i="5" s="1"/>
  <c r="AC41" i="4"/>
  <c r="Z40" i="8" s="1"/>
  <c r="AA41" i="4"/>
  <c r="X40" i="8" s="1"/>
  <c r="W26" i="4"/>
  <c r="T43" i="6" s="1"/>
  <c r="T93" i="6" s="1"/>
  <c r="N5" i="4"/>
  <c r="K40" i="5" s="1"/>
  <c r="M42" i="4"/>
  <c r="J41" i="8" s="1"/>
  <c r="V43" i="4"/>
  <c r="S42" i="8" s="1"/>
  <c r="AB31" i="4"/>
  <c r="Y48" i="6" s="1"/>
  <c r="Y98" i="6" s="1"/>
  <c r="E16" i="4"/>
  <c r="B51" i="5" s="1"/>
  <c r="I48" i="4"/>
  <c r="F47" i="8" s="1"/>
  <c r="S33" i="4"/>
  <c r="P50" i="6" s="1"/>
  <c r="P100" i="6" s="1"/>
  <c r="AC5" i="4"/>
  <c r="Z40" i="5" s="1"/>
  <c r="N10" i="4"/>
  <c r="K45" i="5" s="1"/>
  <c r="W8" i="4"/>
  <c r="T43" i="5" s="1"/>
  <c r="W32" i="4"/>
  <c r="T49" i="6" s="1"/>
  <c r="T99" i="6" s="1"/>
  <c r="N45" i="4"/>
  <c r="K44" i="8" s="1"/>
  <c r="X15" i="4"/>
  <c r="U50" i="5" s="1"/>
  <c r="AD30" i="4"/>
  <c r="AA47" i="6" s="1"/>
  <c r="AA97" i="6" s="1"/>
  <c r="N32" i="4"/>
  <c r="K49" i="6" s="1"/>
  <c r="K99" i="6" s="1"/>
  <c r="AD12" i="4"/>
  <c r="AA47" i="5" s="1"/>
  <c r="H32" i="4"/>
  <c r="E49" i="6" s="1"/>
  <c r="E99" i="6" s="1"/>
  <c r="M16" i="4"/>
  <c r="J51" i="5" s="1"/>
  <c r="P10" i="4"/>
  <c r="M45" i="5" s="1"/>
  <c r="Q5" i="4"/>
  <c r="N40" i="5" s="1"/>
  <c r="Y26" i="4"/>
  <c r="V43" i="6" s="1"/>
  <c r="V93" i="6" s="1"/>
  <c r="I7" i="4"/>
  <c r="F42" i="5" s="1"/>
  <c r="AB7" i="4"/>
  <c r="Y42" i="5" s="1"/>
  <c r="T14" i="4"/>
  <c r="Q49" i="5" s="1"/>
  <c r="O7" i="4"/>
  <c r="L42" i="5" s="1"/>
  <c r="G27" i="4"/>
  <c r="D44" i="6" s="1"/>
  <c r="D94" i="6" s="1"/>
  <c r="M9" i="4"/>
  <c r="J44" i="5" s="1"/>
  <c r="AD11" i="4"/>
  <c r="AA46" i="5" s="1"/>
  <c r="H8" i="4"/>
  <c r="E43" i="5" s="1"/>
  <c r="R14" i="4"/>
  <c r="O49" i="5" s="1"/>
  <c r="R22" i="4"/>
  <c r="O39" i="6" s="1"/>
  <c r="X8" i="4"/>
  <c r="U43" i="5" s="1"/>
  <c r="S8" i="4"/>
  <c r="P43" i="5" s="1"/>
  <c r="P14" i="4"/>
  <c r="M49" i="5" s="1"/>
  <c r="K7" i="4"/>
  <c r="H42" i="5" s="1"/>
  <c r="I24" i="4"/>
  <c r="F41" i="6" s="1"/>
  <c r="F91" i="6" s="1"/>
  <c r="I9" i="4"/>
  <c r="F44" i="5" s="1"/>
  <c r="K26" i="4"/>
  <c r="H43" i="6" s="1"/>
  <c r="H93" i="6" s="1"/>
  <c r="M32" i="4"/>
  <c r="J49" i="6" s="1"/>
  <c r="J99" i="6" s="1"/>
  <c r="H10" i="4"/>
  <c r="E45" i="5" s="1"/>
  <c r="G30" i="4"/>
  <c r="D47" i="6" s="1"/>
  <c r="D97" i="6" s="1"/>
  <c r="M23" i="4"/>
  <c r="J40" i="6" s="1"/>
  <c r="J90" i="6" s="1"/>
  <c r="AE6" i="4"/>
  <c r="AB41" i="5" s="1"/>
  <c r="U23" i="4"/>
  <c r="R40" i="6" s="1"/>
  <c r="R90" i="6" s="1"/>
  <c r="M31" i="4"/>
  <c r="J48" i="6" s="1"/>
  <c r="J98" i="6" s="1"/>
  <c r="Z22" i="4"/>
  <c r="W39" i="6" s="1"/>
  <c r="V39" i="4"/>
  <c r="S38" i="8" s="1"/>
  <c r="T24" i="4"/>
  <c r="Q41" i="6" s="1"/>
  <c r="Q91" i="6" s="1"/>
  <c r="L42" i="4"/>
  <c r="I41" i="8" s="1"/>
  <c r="AB43" i="4"/>
  <c r="Y42" i="8" s="1"/>
  <c r="O44" i="4"/>
  <c r="L43" i="8" s="1"/>
  <c r="W45" i="4"/>
  <c r="T44" i="8" s="1"/>
  <c r="Y30" i="4"/>
  <c r="V47" i="6" s="1"/>
  <c r="V97" i="6" s="1"/>
  <c r="R23" i="4"/>
  <c r="O40" i="6" s="1"/>
  <c r="O90" i="6" s="1"/>
  <c r="AA24" i="4"/>
  <c r="X41" i="6" s="1"/>
  <c r="X91" i="6" s="1"/>
  <c r="U44" i="4"/>
  <c r="R43" i="8" s="1"/>
  <c r="AC44" i="4"/>
  <c r="Z43" i="8" s="1"/>
  <c r="K12" i="4"/>
  <c r="H47" i="5" s="1"/>
  <c r="X43" i="4"/>
  <c r="U42" i="8" s="1"/>
  <c r="J14" i="4"/>
  <c r="G49" i="5" s="1"/>
  <c r="G8" i="4"/>
  <c r="D43" i="5" s="1"/>
  <c r="M25" i="4"/>
  <c r="J42" i="6" s="1"/>
  <c r="J92" i="6" s="1"/>
  <c r="AD40" i="4"/>
  <c r="AA39" i="8" s="1"/>
  <c r="H22" i="4"/>
  <c r="E39" i="6" s="1"/>
  <c r="V28" i="4"/>
  <c r="S45" i="6" s="1"/>
  <c r="S95" i="6" s="1"/>
  <c r="E50" i="4"/>
  <c r="B49" i="8" s="1"/>
  <c r="G5" i="4"/>
  <c r="D40" i="5" s="1"/>
  <c r="L8" i="4"/>
  <c r="I43" i="5" s="1"/>
  <c r="W13" i="4"/>
  <c r="T48" i="5" s="1"/>
  <c r="O41" i="4"/>
  <c r="L40" i="8" s="1"/>
  <c r="AB11" i="4"/>
  <c r="Y46" i="5" s="1"/>
  <c r="G50" i="4"/>
  <c r="D49" i="8" s="1"/>
  <c r="U13" i="4"/>
  <c r="R48" i="5" s="1"/>
  <c r="X6" i="4"/>
  <c r="U41" i="5" s="1"/>
  <c r="L11" i="4"/>
  <c r="I46" i="5" s="1"/>
  <c r="Z16" i="4"/>
  <c r="W51" i="5" s="1"/>
  <c r="U7" i="4"/>
  <c r="R42" i="5" s="1"/>
  <c r="J49" i="4"/>
  <c r="G48" i="8" s="1"/>
  <c r="L13" i="4"/>
  <c r="I48" i="5" s="1"/>
  <c r="M12" i="4"/>
  <c r="J47" i="5" s="1"/>
  <c r="Y25" i="4"/>
  <c r="V42" i="6" s="1"/>
  <c r="V92" i="6" s="1"/>
  <c r="I39" i="4"/>
  <c r="F38" i="8" s="1"/>
  <c r="Z25" i="4"/>
  <c r="W42" i="6" s="1"/>
  <c r="W92" i="6" s="1"/>
  <c r="Z41" i="4"/>
  <c r="W40" i="8" s="1"/>
  <c r="H30" i="4"/>
  <c r="E47" i="6" s="1"/>
  <c r="E97" i="6" s="1"/>
  <c r="N23" i="4"/>
  <c r="K40" i="6" s="1"/>
  <c r="K90" i="6" s="1"/>
  <c r="AA23" i="4"/>
  <c r="X40" i="6" s="1"/>
  <c r="X90" i="6" s="1"/>
  <c r="AB23" i="4"/>
  <c r="Y40" i="6" s="1"/>
  <c r="Y90" i="6" s="1"/>
  <c r="W10" i="4"/>
  <c r="T45" i="5" s="1"/>
  <c r="I41" i="4"/>
  <c r="F40" i="8" s="1"/>
  <c r="N33" i="4"/>
  <c r="K50" i="6" s="1"/>
  <c r="K100" i="6" s="1"/>
  <c r="H45" i="4"/>
  <c r="E44" i="8" s="1"/>
  <c r="V47" i="4"/>
  <c r="S46" i="8" s="1"/>
  <c r="Q50" i="4"/>
  <c r="N49" i="8" s="1"/>
  <c r="S6" i="4"/>
  <c r="P41" i="5" s="1"/>
  <c r="Y41" i="4"/>
  <c r="V40" i="8" s="1"/>
  <c r="AE27" i="4"/>
  <c r="AB44" i="6" s="1"/>
  <c r="AB94" i="6" s="1"/>
  <c r="S14" i="4"/>
  <c r="P49" i="5" s="1"/>
  <c r="O10" i="4"/>
  <c r="L45" i="5" s="1"/>
  <c r="L7" i="4"/>
  <c r="I42" i="5" s="1"/>
  <c r="O12" i="4"/>
  <c r="L47" i="5" s="1"/>
  <c r="J7" i="4"/>
  <c r="G42" i="5" s="1"/>
  <c r="E22" i="4"/>
  <c r="T6" i="4"/>
  <c r="Q41" i="5" s="1"/>
  <c r="U5" i="4"/>
  <c r="R40" i="5" s="1"/>
  <c r="AC33" i="4"/>
  <c r="Z50" i="6" s="1"/>
  <c r="Z100" i="6" s="1"/>
  <c r="X26" i="4"/>
  <c r="U43" i="6" s="1"/>
  <c r="U93" i="6" s="1"/>
  <c r="AD22" i="4"/>
  <c r="AA39" i="6" s="1"/>
  <c r="K10" i="4"/>
  <c r="H45" i="5" s="1"/>
  <c r="Y40" i="4"/>
  <c r="V39" i="8" s="1"/>
  <c r="AE39" i="4"/>
  <c r="AB38" i="8" s="1"/>
  <c r="I47" i="4"/>
  <c r="F46" i="8" s="1"/>
  <c r="R11" i="4"/>
  <c r="O46" i="5" s="1"/>
  <c r="Y13" i="4"/>
  <c r="V48" i="5" s="1"/>
  <c r="AB6" i="4"/>
  <c r="Y41" i="5" s="1"/>
  <c r="F9" i="4"/>
  <c r="C44" i="5" s="1"/>
  <c r="L9" i="4"/>
  <c r="I44" i="5" s="1"/>
  <c r="Z6" i="4"/>
  <c r="W41" i="5" s="1"/>
  <c r="U33" i="4"/>
  <c r="R50" i="6" s="1"/>
  <c r="R100" i="6" s="1"/>
  <c r="AE10" i="4"/>
  <c r="AB45" i="5" s="1"/>
  <c r="K47" i="4"/>
  <c r="H46" i="8" s="1"/>
  <c r="I13" i="4"/>
  <c r="F48" i="5" s="1"/>
  <c r="O6" i="4"/>
  <c r="L41" i="5" s="1"/>
  <c r="Z7" i="4"/>
  <c r="W42" i="5" s="1"/>
  <c r="W5" i="4"/>
  <c r="T40" i="5" s="1"/>
  <c r="G13" i="4"/>
  <c r="D48" i="5" s="1"/>
  <c r="M6" i="4"/>
  <c r="J41" i="5" s="1"/>
  <c r="K39" i="4"/>
  <c r="H38" i="8" s="1"/>
  <c r="AA10" i="4"/>
  <c r="X45" i="5" s="1"/>
  <c r="J46" i="4"/>
  <c r="G45" i="8" s="1"/>
  <c r="E13" i="4"/>
  <c r="B48" i="5" s="1"/>
  <c r="K6" i="4"/>
  <c r="H41" i="5" s="1"/>
  <c r="U8" i="4"/>
  <c r="R43" i="5" s="1"/>
  <c r="AD14" i="4"/>
  <c r="AA49" i="5" s="1"/>
  <c r="G7" i="4"/>
  <c r="D42" i="5" s="1"/>
  <c r="N48" i="4"/>
  <c r="K47" i="8" s="1"/>
  <c r="X12" i="4"/>
  <c r="U47" i="5" s="1"/>
  <c r="I10" i="4"/>
  <c r="F45" i="5" s="1"/>
  <c r="I26" i="4"/>
  <c r="F43" i="6" s="1"/>
  <c r="F93" i="6" s="1"/>
  <c r="U39" i="4"/>
  <c r="R38" i="8" s="1"/>
  <c r="V26" i="4"/>
  <c r="S43" i="6" s="1"/>
  <c r="S93" i="6" s="1"/>
  <c r="K45" i="4"/>
  <c r="H44" i="8" s="1"/>
  <c r="T30" i="4"/>
  <c r="Q47" i="6" s="1"/>
  <c r="Q97" i="6" s="1"/>
  <c r="J27" i="4"/>
  <c r="G44" i="6" s="1"/>
  <c r="G94" i="6" s="1"/>
  <c r="AE25" i="4"/>
  <c r="AB42" i="6" s="1"/>
  <c r="AB92" i="6" s="1"/>
  <c r="H28" i="4"/>
  <c r="E45" i="6" s="1"/>
  <c r="E95" i="6" s="1"/>
  <c r="W14" i="4"/>
  <c r="T49" i="5" s="1"/>
  <c r="Q43" i="4"/>
  <c r="N42" i="8" s="1"/>
  <c r="S42" i="4"/>
  <c r="P41" i="8" s="1"/>
  <c r="AB45" i="4"/>
  <c r="Y44" i="8" s="1"/>
  <c r="AD48" i="4"/>
  <c r="AA47" i="8" s="1"/>
  <c r="K13" i="4"/>
  <c r="H48" i="5" s="1"/>
  <c r="Y28" i="4"/>
  <c r="V45" i="6" s="1"/>
  <c r="V95" i="6" s="1"/>
  <c r="Q14" i="4"/>
  <c r="N49" i="5" s="1"/>
  <c r="AA5" i="4"/>
  <c r="X40" i="5" s="1"/>
  <c r="AB12" i="4"/>
  <c r="Y47" i="5" s="1"/>
  <c r="E14" i="4"/>
  <c r="B49" i="5" s="1"/>
  <c r="N25" i="4"/>
  <c r="K42" i="6" s="1"/>
  <c r="K92" i="6" s="1"/>
  <c r="Q31" i="4"/>
  <c r="N48" i="6" s="1"/>
  <c r="N98" i="6" s="1"/>
  <c r="Q10" i="4"/>
  <c r="N45" i="5" s="1"/>
  <c r="K44" i="4"/>
  <c r="H43" i="8" s="1"/>
  <c r="U12" i="4"/>
  <c r="R47" i="5" s="1"/>
  <c r="AD5" i="4"/>
  <c r="AA40" i="5" s="1"/>
  <c r="M7" i="4"/>
  <c r="J42" i="5" s="1"/>
  <c r="G47" i="4"/>
  <c r="D46" i="8" s="1"/>
  <c r="AA43" i="4"/>
  <c r="X42" i="8" s="1"/>
  <c r="P12" i="4"/>
  <c r="M47" i="5" s="1"/>
  <c r="AB5" i="4"/>
  <c r="Y40" i="5" s="1"/>
  <c r="AA28" i="4"/>
  <c r="X45" i="6" s="1"/>
  <c r="X95" i="6" s="1"/>
  <c r="M10" i="4"/>
  <c r="J45" i="5" s="1"/>
  <c r="L43" i="4"/>
  <c r="I42" i="8" s="1"/>
  <c r="N12" i="4"/>
  <c r="K47" i="5" s="1"/>
  <c r="Z5" i="4"/>
  <c r="W40" i="5" s="1"/>
  <c r="V6" i="4"/>
  <c r="S41" i="5" s="1"/>
  <c r="H14" i="4"/>
  <c r="E49" i="5" s="1"/>
  <c r="U6" i="4"/>
  <c r="R41" i="5" s="1"/>
  <c r="AA44" i="4"/>
  <c r="X43" i="8" s="1"/>
  <c r="I12" i="4"/>
  <c r="F47" i="5" s="1"/>
  <c r="V7" i="4"/>
  <c r="S42" i="5" s="1"/>
  <c r="U26" i="4"/>
  <c r="R43" i="6" s="1"/>
  <c r="R93" i="6" s="1"/>
  <c r="Q40" i="4"/>
  <c r="N39" i="8" s="1"/>
  <c r="V29" i="4"/>
  <c r="S46" i="6" s="1"/>
  <c r="S96" i="6" s="1"/>
  <c r="G46" i="4"/>
  <c r="D45" i="8" s="1"/>
  <c r="P31" i="4"/>
  <c r="M48" i="6" s="1"/>
  <c r="M98" i="6" s="1"/>
  <c r="W27" i="4"/>
  <c r="T44" i="6" s="1"/>
  <c r="T94" i="6" s="1"/>
  <c r="P29" i="4"/>
  <c r="M46" i="6" s="1"/>
  <c r="M96" i="6" s="1"/>
  <c r="T15" i="4"/>
  <c r="Q50" i="5" s="1"/>
  <c r="W46" i="4"/>
  <c r="T45" i="8" s="1"/>
  <c r="S44" i="4"/>
  <c r="P43" i="8" s="1"/>
  <c r="K15" i="4"/>
  <c r="H50" i="5" s="1"/>
  <c r="Y47" i="4"/>
  <c r="V46" i="8" s="1"/>
  <c r="S39" i="4"/>
  <c r="P38" i="8" s="1"/>
  <c r="P33" i="4"/>
  <c r="M50" i="6" s="1"/>
  <c r="M100" i="6" s="1"/>
  <c r="R48" i="4"/>
  <c r="O47" i="8" s="1"/>
  <c r="P47" i="4"/>
  <c r="M46" i="8" s="1"/>
  <c r="H12" i="4"/>
  <c r="E47" i="5" s="1"/>
  <c r="T10" i="4"/>
  <c r="Q45" i="5" s="1"/>
  <c r="M13" i="4"/>
  <c r="J48" i="5" s="1"/>
  <c r="AB47" i="4"/>
  <c r="Y46" i="8" s="1"/>
  <c r="S11" i="4"/>
  <c r="P46" i="5" s="1"/>
  <c r="R25" i="4"/>
  <c r="O42" i="6" s="1"/>
  <c r="O92" i="6" s="1"/>
  <c r="O48" i="4"/>
  <c r="L47" i="8" s="1"/>
  <c r="S41" i="4"/>
  <c r="P40" i="8" s="1"/>
  <c r="P32" i="4"/>
  <c r="M49" i="6" s="1"/>
  <c r="M99" i="6" s="1"/>
  <c r="AC12" i="4"/>
  <c r="Z47" i="5" s="1"/>
  <c r="M33" i="4"/>
  <c r="J50" i="6" s="1"/>
  <c r="J100" i="6" s="1"/>
  <c r="J22" i="4"/>
  <c r="G39" i="6" s="1"/>
  <c r="P13" i="4"/>
  <c r="M48" i="5" s="1"/>
  <c r="F44" i="4"/>
  <c r="C43" i="8" s="1"/>
  <c r="F43" i="4"/>
  <c r="C42" i="8" s="1"/>
  <c r="AC46" i="4"/>
  <c r="Z45" i="8" s="1"/>
  <c r="E44" i="4"/>
  <c r="B43" i="8" s="1"/>
  <c r="AD6" i="4"/>
  <c r="AA41" i="5" s="1"/>
  <c r="T5" i="4"/>
  <c r="S9" i="4"/>
  <c r="P44" i="5" s="1"/>
  <c r="R13" i="4"/>
  <c r="O48" i="5" s="1"/>
  <c r="AE44" i="4"/>
  <c r="AB43" i="8" s="1"/>
  <c r="X33" i="4"/>
  <c r="U50" i="6" s="1"/>
  <c r="U100" i="6" s="1"/>
  <c r="X27" i="4"/>
  <c r="U44" i="6" s="1"/>
  <c r="U94" i="6" s="1"/>
  <c r="AB16" i="4"/>
  <c r="Y51" i="5" s="1"/>
  <c r="AB42" i="4"/>
  <c r="Y41" i="8" s="1"/>
  <c r="O32" i="4"/>
  <c r="L49" i="6" s="1"/>
  <c r="L99" i="6" s="1"/>
  <c r="K27" i="4"/>
  <c r="H44" i="6" s="1"/>
  <c r="H94" i="6" s="1"/>
  <c r="G22" i="4"/>
  <c r="D39" i="6" s="1"/>
  <c r="N42" i="4"/>
  <c r="K41" i="8" s="1"/>
  <c r="AD31" i="4"/>
  <c r="AA48" i="6" s="1"/>
  <c r="AA98" i="6" s="1"/>
  <c r="Z26" i="4"/>
  <c r="W43" i="6" s="1"/>
  <c r="W93" i="6" s="1"/>
  <c r="H48" i="4"/>
  <c r="E47" i="8" s="1"/>
  <c r="T40" i="4"/>
  <c r="Q39" i="8" s="1"/>
  <c r="X29" i="4"/>
  <c r="U46" i="6" s="1"/>
  <c r="U96" i="6" s="1"/>
  <c r="X23" i="4"/>
  <c r="U40" i="6" s="1"/>
  <c r="U90" i="6" s="1"/>
  <c r="X44" i="4"/>
  <c r="U43" i="8" s="1"/>
  <c r="J39" i="4"/>
  <c r="G38" i="8" s="1"/>
  <c r="J29" i="4"/>
  <c r="G46" i="6" s="1"/>
  <c r="F24" i="4"/>
  <c r="C41" i="6" s="1"/>
  <c r="C91" i="6" s="1"/>
  <c r="G43" i="4"/>
  <c r="D42" i="8" s="1"/>
  <c r="E33" i="4"/>
  <c r="B50" i="6" s="1"/>
  <c r="B100" i="6" s="1"/>
  <c r="AC27" i="4"/>
  <c r="Z44" i="6" s="1"/>
  <c r="Z94" i="6" s="1"/>
  <c r="Y22" i="4"/>
  <c r="V39" i="6" s="1"/>
  <c r="AE14" i="4"/>
  <c r="AB49" i="5" s="1"/>
  <c r="S10" i="4"/>
  <c r="P45" i="5" s="1"/>
  <c r="U27" i="4"/>
  <c r="R44" i="6" s="1"/>
  <c r="R94" i="6" s="1"/>
  <c r="AC25" i="4"/>
  <c r="Z42" i="6" s="1"/>
  <c r="Z92" i="6" s="1"/>
  <c r="T8" i="4"/>
  <c r="Q43" i="5" s="1"/>
  <c r="Z15" i="4"/>
  <c r="W50" i="5" s="1"/>
  <c r="Y16" i="4"/>
  <c r="V51" i="5" s="1"/>
  <c r="E29" i="4"/>
  <c r="B46" i="6" s="1"/>
  <c r="AC23" i="4"/>
  <c r="Z40" i="6" s="1"/>
  <c r="Z90" i="6" s="1"/>
  <c r="Z13" i="4"/>
  <c r="W48" i="5" s="1"/>
  <c r="Q8" i="4"/>
  <c r="N43" i="5" s="1"/>
  <c r="P44" i="4"/>
  <c r="M43" i="8" s="1"/>
  <c r="L33" i="4"/>
  <c r="I50" i="6" s="1"/>
  <c r="I100" i="6" s="1"/>
  <c r="L27" i="4"/>
  <c r="I44" i="6" s="1"/>
  <c r="I94" i="6" s="1"/>
  <c r="P16" i="4"/>
  <c r="M51" i="5" s="1"/>
  <c r="O42" i="4"/>
  <c r="L41" i="8" s="1"/>
  <c r="AE31" i="4"/>
  <c r="AB48" i="6" s="1"/>
  <c r="AB98" i="6" s="1"/>
  <c r="AA26" i="4"/>
  <c r="X43" i="6" s="1"/>
  <c r="X93" i="6" s="1"/>
  <c r="L50" i="4"/>
  <c r="I49" i="8" s="1"/>
  <c r="AD41" i="4"/>
  <c r="AA40" i="8" s="1"/>
  <c r="R31" i="4"/>
  <c r="O48" i="6" s="1"/>
  <c r="O98" i="6" s="1"/>
  <c r="N26" i="4"/>
  <c r="K43" i="6" s="1"/>
  <c r="K93" i="6" s="1"/>
  <c r="H47" i="4"/>
  <c r="E46" i="8" s="1"/>
  <c r="H40" i="4"/>
  <c r="E39" i="8" s="1"/>
  <c r="L29" i="4"/>
  <c r="I46" i="6" s="1"/>
  <c r="I96" i="6" s="1"/>
  <c r="L23" i="4"/>
  <c r="I40" i="6" s="1"/>
  <c r="I90" i="6" s="1"/>
  <c r="I44" i="4"/>
  <c r="F43" i="8" s="1"/>
  <c r="AD33" i="4"/>
  <c r="AA50" i="6" s="1"/>
  <c r="AA100" i="6" s="1"/>
  <c r="Z28" i="4"/>
  <c r="W45" i="6" s="1"/>
  <c r="W95" i="6" s="1"/>
  <c r="V23" i="4"/>
  <c r="S40" i="6" s="1"/>
  <c r="S90" i="6" s="1"/>
  <c r="V42" i="4"/>
  <c r="S41" i="8" s="1"/>
  <c r="U32" i="4"/>
  <c r="R49" i="6" s="1"/>
  <c r="R99" i="6" s="1"/>
  <c r="Q27" i="4"/>
  <c r="N44" i="6" s="1"/>
  <c r="N94" i="6" s="1"/>
  <c r="M22" i="4"/>
  <c r="J39" i="6" s="1"/>
  <c r="I5" i="4"/>
  <c r="F40" i="5" s="1"/>
  <c r="F11" i="4"/>
  <c r="C46" i="5" s="1"/>
  <c r="X10" i="4"/>
  <c r="U45" i="5" s="1"/>
  <c r="AE43" i="4"/>
  <c r="AB42" i="8" s="1"/>
  <c r="Y33" i="4"/>
  <c r="V50" i="6" s="1"/>
  <c r="V100" i="6" s="1"/>
  <c r="U28" i="4"/>
  <c r="R45" i="6" s="1"/>
  <c r="R95" i="6" s="1"/>
  <c r="Q23" i="4"/>
  <c r="N40" i="6" s="1"/>
  <c r="N90" i="6" s="1"/>
  <c r="N13" i="4"/>
  <c r="K48" i="5" s="1"/>
  <c r="E8" i="4"/>
  <c r="B43" i="5" s="1"/>
  <c r="AD43" i="4"/>
  <c r="AA42" i="8" s="1"/>
  <c r="AB32" i="4"/>
  <c r="Y49" i="6" s="1"/>
  <c r="Y99" i="6" s="1"/>
  <c r="AB26" i="4"/>
  <c r="Y43" i="6" s="1"/>
  <c r="Y93" i="6" s="1"/>
  <c r="R50" i="4"/>
  <c r="O49" i="8" s="1"/>
  <c r="AE41" i="4"/>
  <c r="AB40" i="8" s="1"/>
  <c r="S31" i="4"/>
  <c r="P48" i="6" s="1"/>
  <c r="P98" i="6" s="1"/>
  <c r="O26" i="4"/>
  <c r="L43" i="6" s="1"/>
  <c r="L93" i="6" s="1"/>
  <c r="O49" i="4"/>
  <c r="L48" i="8" s="1"/>
  <c r="R41" i="4"/>
  <c r="O40" i="8" s="1"/>
  <c r="F31" i="4"/>
  <c r="C48" i="6" s="1"/>
  <c r="C98" i="6" s="1"/>
  <c r="AD25" i="4"/>
  <c r="AA42" i="6" s="1"/>
  <c r="AA92" i="6" s="1"/>
  <c r="K46" i="4"/>
  <c r="H45" i="8" s="1"/>
  <c r="X39" i="4"/>
  <c r="U38" i="8" s="1"/>
  <c r="AB28" i="4"/>
  <c r="Y45" i="6" s="1"/>
  <c r="Y95" i="6" s="1"/>
  <c r="AB22" i="4"/>
  <c r="Y39" i="6" s="1"/>
  <c r="W43" i="4"/>
  <c r="T42" i="8" s="1"/>
  <c r="R33" i="4"/>
  <c r="O50" i="6" s="1"/>
  <c r="O100" i="6" s="1"/>
  <c r="N28" i="4"/>
  <c r="K45" i="6" s="1"/>
  <c r="K95" i="6" s="1"/>
  <c r="J23" i="4"/>
  <c r="G40" i="6" s="1"/>
  <c r="G90" i="6" s="1"/>
  <c r="I42" i="4"/>
  <c r="F41" i="8" s="1"/>
  <c r="I32" i="4"/>
  <c r="F49" i="6" s="1"/>
  <c r="F99" i="6" s="1"/>
  <c r="E27" i="4"/>
  <c r="B44" i="6" s="1"/>
  <c r="B94" i="6" s="1"/>
  <c r="U16" i="4"/>
  <c r="R51" i="5" s="1"/>
  <c r="Y15" i="4"/>
  <c r="V50" i="5" s="1"/>
  <c r="AB8" i="4"/>
  <c r="Y43" i="5" s="1"/>
  <c r="N16" i="4"/>
  <c r="K51" i="5" s="1"/>
  <c r="U10" i="4"/>
  <c r="R45" i="5" s="1"/>
  <c r="Q47" i="4"/>
  <c r="N46" i="8" s="1"/>
  <c r="P50" i="4"/>
  <c r="M49" i="8" s="1"/>
  <c r="O50" i="4"/>
  <c r="L49" i="8" s="1"/>
  <c r="AD49" i="4"/>
  <c r="AA48" i="8" s="1"/>
  <c r="M50" i="4"/>
  <c r="J49" i="8" s="1"/>
  <c r="W50" i="4"/>
  <c r="T49" i="8" s="1"/>
  <c r="AD45" i="4"/>
  <c r="AA44" i="8" s="1"/>
  <c r="M49" i="4"/>
  <c r="J48" i="8" s="1"/>
  <c r="AB48" i="4"/>
  <c r="Y47" i="8" s="1"/>
  <c r="L41" i="4"/>
  <c r="I40" i="8" s="1"/>
  <c r="P30" i="4"/>
  <c r="M47" i="6" s="1"/>
  <c r="M97" i="6" s="1"/>
  <c r="P24" i="4"/>
  <c r="M41" i="6" s="1"/>
  <c r="M91" i="6" s="1"/>
  <c r="Q13" i="4"/>
  <c r="N48" i="5" s="1"/>
  <c r="G42" i="4"/>
  <c r="D41" i="8" s="1"/>
  <c r="G32" i="4"/>
  <c r="D49" i="6" s="1"/>
  <c r="D99" i="6" s="1"/>
  <c r="AE26" i="4"/>
  <c r="AB43" i="6" s="1"/>
  <c r="AB93" i="6" s="1"/>
  <c r="AE16" i="4"/>
  <c r="AB51" i="5" s="1"/>
  <c r="X49" i="4"/>
  <c r="U48" i="8" s="1"/>
  <c r="Z40" i="4"/>
  <c r="W39" i="8" s="1"/>
  <c r="Z30" i="4"/>
  <c r="W47" i="6" s="1"/>
  <c r="W97" i="6" s="1"/>
  <c r="V25" i="4"/>
  <c r="S42" i="6" s="1"/>
  <c r="S92" i="6" s="1"/>
  <c r="U15" i="4"/>
  <c r="R50" i="5" s="1"/>
  <c r="N30" i="4"/>
  <c r="K47" i="6" s="1"/>
  <c r="K97" i="6" s="1"/>
  <c r="J25" i="4"/>
  <c r="G42" i="6" s="1"/>
  <c r="G92" i="6" s="1"/>
  <c r="I15" i="4"/>
  <c r="F50" i="5" s="1"/>
  <c r="AA9" i="4"/>
  <c r="X44" i="5" s="1"/>
  <c r="AE42" i="4"/>
  <c r="AB41" i="8" s="1"/>
  <c r="AC32" i="4"/>
  <c r="Z49" i="6" s="1"/>
  <c r="Z99" i="6" s="1"/>
  <c r="Y27" i="4"/>
  <c r="V44" i="6" s="1"/>
  <c r="V94" i="6" s="1"/>
  <c r="U22" i="4"/>
  <c r="R39" i="6" s="1"/>
  <c r="Q12" i="4"/>
  <c r="N47" i="5" s="1"/>
  <c r="H7" i="4"/>
  <c r="E42" i="5" s="1"/>
  <c r="AC42" i="4"/>
  <c r="Z41" i="8" s="1"/>
  <c r="T31" i="4"/>
  <c r="Q48" i="6" s="1"/>
  <c r="Q98" i="6" s="1"/>
  <c r="T25" i="4"/>
  <c r="Q42" i="6" s="1"/>
  <c r="Q92" i="6" s="1"/>
  <c r="P48" i="4"/>
  <c r="M47" i="8" s="1"/>
  <c r="G41" i="4"/>
  <c r="D40" i="8" s="1"/>
  <c r="W30" i="4"/>
  <c r="T47" i="6" s="1"/>
  <c r="T97" i="6" s="1"/>
  <c r="S25" i="4"/>
  <c r="P42" i="6" s="1"/>
  <c r="P92" i="6" s="1"/>
  <c r="L47" i="4"/>
  <c r="I46" i="8" s="1"/>
  <c r="V40" i="4"/>
  <c r="S39" i="8" s="1"/>
  <c r="J30" i="4"/>
  <c r="G47" i="6" s="1"/>
  <c r="G97" i="6" s="1"/>
  <c r="F25" i="4"/>
  <c r="C42" i="6" s="1"/>
  <c r="C92" i="6" s="1"/>
  <c r="Z44" i="4"/>
  <c r="W43" i="8" s="1"/>
  <c r="T33" i="4"/>
  <c r="Q50" i="6" s="1"/>
  <c r="Q100" i="6" s="1"/>
  <c r="T27" i="4"/>
  <c r="Q44" i="6" s="1"/>
  <c r="Q94" i="6" s="1"/>
  <c r="X16" i="4"/>
  <c r="U51" i="5" s="1"/>
  <c r="W42" i="4"/>
  <c r="T41" i="8" s="1"/>
  <c r="V32" i="4"/>
  <c r="S49" i="6" s="1"/>
  <c r="S99" i="6" s="1"/>
  <c r="R27" i="4"/>
  <c r="O44" i="6" s="1"/>
  <c r="O94" i="6" s="1"/>
  <c r="N22" i="4"/>
  <c r="K39" i="6" s="1"/>
  <c r="M41" i="4"/>
  <c r="J40" i="8" s="1"/>
  <c r="Z24" i="4"/>
  <c r="W41" i="6" s="1"/>
  <c r="W91" i="6" s="1"/>
  <c r="X14" i="4"/>
  <c r="U49" i="5" s="1"/>
  <c r="O9" i="4"/>
  <c r="L44" i="5" s="1"/>
  <c r="Q42" i="4"/>
  <c r="N41" i="8" s="1"/>
  <c r="Q32" i="4"/>
  <c r="N49" i="6" s="1"/>
  <c r="N99" i="6" s="1"/>
  <c r="M27" i="4"/>
  <c r="J44" i="6" s="1"/>
  <c r="J94" i="6" s="1"/>
  <c r="I22" i="4"/>
  <c r="F39" i="6" s="1"/>
  <c r="E12" i="4"/>
  <c r="B47" i="5" s="1"/>
  <c r="W6" i="4"/>
  <c r="T41" i="5" s="1"/>
  <c r="P42" i="4"/>
  <c r="M41" i="8" s="1"/>
  <c r="H31" i="4"/>
  <c r="E48" i="6" s="1"/>
  <c r="E98" i="6" s="1"/>
  <c r="H25" i="4"/>
  <c r="E42" i="6" s="1"/>
  <c r="E92" i="6" s="1"/>
  <c r="R47" i="4"/>
  <c r="O46" i="8" s="1"/>
  <c r="W40" i="4"/>
  <c r="T39" i="8" s="1"/>
  <c r="K30" i="4"/>
  <c r="H47" i="6" s="1"/>
  <c r="H97" i="6" s="1"/>
  <c r="G25" i="4"/>
  <c r="D42" i="6" s="1"/>
  <c r="D92" i="6" s="1"/>
  <c r="O46" i="4"/>
  <c r="L45" i="8" s="1"/>
  <c r="J40" i="4"/>
  <c r="G39" i="8" s="1"/>
  <c r="Z29" i="4"/>
  <c r="W46" i="6" s="1"/>
  <c r="W96" i="6" s="1"/>
  <c r="V24" i="4"/>
  <c r="S41" i="6" s="1"/>
  <c r="S91" i="6" s="1"/>
  <c r="L44" i="4"/>
  <c r="I43" i="8" s="1"/>
  <c r="H33" i="4"/>
  <c r="E50" i="6" s="1"/>
  <c r="E100" i="6" s="1"/>
  <c r="H27" i="4"/>
  <c r="E44" i="6" s="1"/>
  <c r="E94" i="6" s="1"/>
  <c r="L16" i="4"/>
  <c r="I51" i="5" s="1"/>
  <c r="J42" i="4"/>
  <c r="G41" i="8" s="1"/>
  <c r="J32" i="4"/>
  <c r="G49" i="6" s="1"/>
  <c r="G99" i="6" s="1"/>
  <c r="F27" i="4"/>
  <c r="C44" i="6" s="1"/>
  <c r="C94" i="6" s="1"/>
  <c r="V16" i="4"/>
  <c r="S51" i="5" s="1"/>
  <c r="AC40" i="4"/>
  <c r="Z39" i="8" s="1"/>
  <c r="AE7" i="4"/>
  <c r="AB42" i="5" s="1"/>
  <c r="X42" i="4"/>
  <c r="U41" i="8" s="1"/>
  <c r="I14" i="4"/>
  <c r="F49" i="5" s="1"/>
  <c r="R10" i="4"/>
  <c r="O45" i="5" s="1"/>
  <c r="S27" i="4"/>
  <c r="P44" i="6" s="1"/>
  <c r="P94" i="6" s="1"/>
  <c r="AD50" i="4"/>
  <c r="AA49" i="8" s="1"/>
  <c r="I46" i="4"/>
  <c r="F45" i="8" s="1"/>
  <c r="X48" i="4"/>
  <c r="U47" i="8" s="1"/>
  <c r="G49" i="4"/>
  <c r="D48" i="8" s="1"/>
  <c r="V48" i="4"/>
  <c r="S47" i="8" s="1"/>
  <c r="E49" i="4"/>
  <c r="B48" i="8" s="1"/>
  <c r="Z49" i="4"/>
  <c r="W48" i="8" s="1"/>
  <c r="V44" i="4"/>
  <c r="S43" i="8" s="1"/>
  <c r="E48" i="4"/>
  <c r="B47" i="8" s="1"/>
  <c r="AE45" i="4"/>
  <c r="AB44" i="8" s="1"/>
  <c r="T39" i="4"/>
  <c r="Q38" i="8" s="1"/>
  <c r="X28" i="4"/>
  <c r="U45" i="6" s="1"/>
  <c r="X22" i="4"/>
  <c r="U39" i="6" s="1"/>
  <c r="X47" i="4"/>
  <c r="U46" i="8" s="1"/>
  <c r="AA40" i="4"/>
  <c r="X39" i="8" s="1"/>
  <c r="AA30" i="4"/>
  <c r="X47" i="6" s="1"/>
  <c r="X97" i="6" s="1"/>
  <c r="W25" i="4"/>
  <c r="T42" i="6" s="1"/>
  <c r="T92" i="6" s="1"/>
  <c r="V15" i="4"/>
  <c r="S50" i="5" s="1"/>
  <c r="X46" i="4"/>
  <c r="U45" i="8" s="1"/>
  <c r="R39" i="4"/>
  <c r="O38" i="8" s="1"/>
  <c r="R29" i="4"/>
  <c r="O46" i="6" s="1"/>
  <c r="O96" i="6" s="1"/>
  <c r="N24" i="4"/>
  <c r="K41" i="6" s="1"/>
  <c r="K91" i="6" s="1"/>
  <c r="L14" i="4"/>
  <c r="I49" i="5" s="1"/>
  <c r="AD8" i="4"/>
  <c r="AA43" i="5" s="1"/>
  <c r="E42" i="4"/>
  <c r="B41" i="8" s="1"/>
  <c r="E32" i="4"/>
  <c r="B49" i="6" s="1"/>
  <c r="B99" i="6" s="1"/>
  <c r="AC26" i="4"/>
  <c r="Z43" i="6" s="1"/>
  <c r="Z93" i="6" s="1"/>
  <c r="AC16" i="4"/>
  <c r="Z51" i="5" s="1"/>
  <c r="T11" i="4"/>
  <c r="Q46" i="5" s="1"/>
  <c r="S50" i="4"/>
  <c r="P49" i="8" s="1"/>
  <c r="T41" i="4"/>
  <c r="Q40" i="8" s="1"/>
  <c r="X30" i="4"/>
  <c r="U47" i="6" s="1"/>
  <c r="U97" i="6" s="1"/>
  <c r="X24" i="4"/>
  <c r="U41" i="6" s="1"/>
  <c r="U91" i="6" s="1"/>
  <c r="P46" i="4"/>
  <c r="M45" i="8" s="1"/>
  <c r="K40" i="4"/>
  <c r="H39" i="8" s="1"/>
  <c r="AA29" i="4"/>
  <c r="X46" i="6" s="1"/>
  <c r="X96" i="6" s="1"/>
  <c r="W24" i="4"/>
  <c r="T41" i="6" s="1"/>
  <c r="T91" i="6" s="1"/>
  <c r="S45" i="4"/>
  <c r="P44" i="8" s="1"/>
  <c r="Z39" i="4"/>
  <c r="W38" i="8" s="1"/>
  <c r="N29" i="4"/>
  <c r="K46" i="6" s="1"/>
  <c r="K96" i="6" s="1"/>
  <c r="J24" i="4"/>
  <c r="G41" i="6" s="1"/>
  <c r="G91" i="6" s="1"/>
  <c r="Y43" i="4"/>
  <c r="V42" i="8" s="1"/>
  <c r="H11" i="4"/>
  <c r="E46" i="5" s="1"/>
  <c r="V49" i="4"/>
  <c r="S48" i="8" s="1"/>
  <c r="H41" i="4"/>
  <c r="E40" i="8" s="1"/>
  <c r="L30" i="4"/>
  <c r="I47" i="6" s="1"/>
  <c r="I97" i="6" s="1"/>
  <c r="L24" i="4"/>
  <c r="I41" i="6" s="1"/>
  <c r="I91" i="6" s="1"/>
  <c r="T45" i="4"/>
  <c r="Q44" i="8" s="1"/>
  <c r="AA39" i="4"/>
  <c r="X38" i="8" s="1"/>
  <c r="O29" i="4"/>
  <c r="L46" i="6" s="1"/>
  <c r="L96" i="6" s="1"/>
  <c r="K24" i="4"/>
  <c r="H41" i="6" s="1"/>
  <c r="H91" i="6" s="1"/>
  <c r="AB44" i="4"/>
  <c r="Y43" i="8" s="1"/>
  <c r="N39" i="4"/>
  <c r="K38" i="8" s="1"/>
  <c r="AD28" i="4"/>
  <c r="AA45" i="6" s="1"/>
  <c r="AA95" i="6" s="1"/>
  <c r="Z23" i="4"/>
  <c r="W40" i="6" s="1"/>
  <c r="W90" i="6" s="1"/>
  <c r="K43" i="4"/>
  <c r="H42" i="8" s="1"/>
  <c r="L32" i="4"/>
  <c r="I49" i="6" s="1"/>
  <c r="I99" i="6" s="1"/>
  <c r="L26" i="4"/>
  <c r="I43" i="6" s="1"/>
  <c r="I93" i="6" s="1"/>
  <c r="O15" i="4"/>
  <c r="L50" i="5" s="1"/>
  <c r="N41" i="4"/>
  <c r="K40" i="8" s="1"/>
  <c r="N31" i="4"/>
  <c r="K48" i="6" s="1"/>
  <c r="K98" i="6" s="1"/>
  <c r="J26" i="4"/>
  <c r="G43" i="6" s="1"/>
  <c r="G93" i="6" s="1"/>
  <c r="AE47" i="4"/>
  <c r="AB46" i="8" s="1"/>
  <c r="E40" i="4"/>
  <c r="B39" i="8" s="1"/>
  <c r="E30" i="4"/>
  <c r="B47" i="6" s="1"/>
  <c r="AC24" i="4"/>
  <c r="Z41" i="6" s="1"/>
  <c r="Z91" i="6" s="1"/>
  <c r="O14" i="4"/>
  <c r="L49" i="5" s="1"/>
  <c r="AD7" i="4"/>
  <c r="AA42" i="5" s="1"/>
  <c r="V14" i="4"/>
  <c r="S49" i="5" s="1"/>
  <c r="Z42" i="4"/>
  <c r="W41" i="8" s="1"/>
  <c r="I6" i="4"/>
  <c r="F41" i="5" s="1"/>
  <c r="L12" i="4"/>
  <c r="I47" i="5" s="1"/>
  <c r="P45" i="4"/>
  <c r="M44" i="8" s="1"/>
  <c r="G24" i="4"/>
  <c r="D41" i="6" s="1"/>
  <c r="D91" i="6" s="1"/>
  <c r="I8" i="4"/>
  <c r="F43" i="5" s="1"/>
  <c r="E15" i="4"/>
  <c r="B50" i="5" s="1"/>
  <c r="O5" i="4"/>
  <c r="L40" i="5" s="1"/>
  <c r="N11" i="4"/>
  <c r="K46" i="5" s="1"/>
  <c r="AE30" i="4"/>
  <c r="AB47" i="6" s="1"/>
  <c r="AB97" i="6" s="1"/>
  <c r="P5" i="4"/>
  <c r="M40" i="5" s="1"/>
  <c r="O11" i="4"/>
  <c r="L46" i="5" s="1"/>
  <c r="G33" i="4"/>
  <c r="D50" i="6" s="1"/>
  <c r="D100" i="6" s="1"/>
  <c r="E31" i="4"/>
  <c r="B48" i="6" s="1"/>
  <c r="B98" i="6" s="1"/>
  <c r="T13" i="4"/>
  <c r="Q48" i="5" s="1"/>
  <c r="T12" i="4"/>
  <c r="Q47" i="5" s="1"/>
  <c r="Z8" i="4"/>
  <c r="W43" i="5" s="1"/>
  <c r="K16" i="4"/>
  <c r="H51" i="5" s="1"/>
  <c r="AE5" i="4"/>
  <c r="AB40" i="5" s="1"/>
  <c r="G12" i="4"/>
  <c r="D47" i="5" s="1"/>
  <c r="M44" i="4"/>
  <c r="J43" i="8" s="1"/>
  <c r="T46" i="4"/>
  <c r="Q45" i="8" s="1"/>
  <c r="O47" i="4"/>
  <c r="L46" i="8" s="1"/>
  <c r="AD46" i="4"/>
  <c r="AA45" i="8" s="1"/>
  <c r="M47" i="4"/>
  <c r="J46" i="8" s="1"/>
  <c r="F48" i="4"/>
  <c r="C47" i="8" s="1"/>
  <c r="AD42" i="4"/>
  <c r="AA41" i="8" s="1"/>
  <c r="M46" i="4"/>
  <c r="J45" i="8" s="1"/>
  <c r="T43" i="4"/>
  <c r="Q42" i="8" s="1"/>
  <c r="T32" i="4"/>
  <c r="Q49" i="6" s="1"/>
  <c r="Q99" i="6" s="1"/>
  <c r="T26" i="4"/>
  <c r="Q43" i="6" s="1"/>
  <c r="Q93" i="6" s="1"/>
  <c r="W15" i="4"/>
  <c r="T50" i="5" s="1"/>
  <c r="T44" i="4"/>
  <c r="Q43" i="8" s="1"/>
  <c r="G39" i="4"/>
  <c r="D38" i="8" s="1"/>
  <c r="G29" i="4"/>
  <c r="D46" i="6" s="1"/>
  <c r="D96" i="6" s="1"/>
  <c r="AE23" i="4"/>
  <c r="AB40" i="6" s="1"/>
  <c r="AB90" i="6" s="1"/>
  <c r="AB13" i="4"/>
  <c r="Y48" i="5" s="1"/>
  <c r="R43" i="4"/>
  <c r="O42" i="8" s="1"/>
  <c r="AD32" i="4"/>
  <c r="AA49" i="6" s="1"/>
  <c r="AA99" i="6" s="1"/>
  <c r="Z27" i="4"/>
  <c r="W44" i="6" s="1"/>
  <c r="W94" i="6" s="1"/>
  <c r="V22" i="4"/>
  <c r="S39" i="6" s="1"/>
  <c r="R12" i="4"/>
  <c r="O47" i="5" s="1"/>
  <c r="T47" i="4"/>
  <c r="Q46" i="8" s="1"/>
  <c r="M40" i="4"/>
  <c r="J39" i="8" s="1"/>
  <c r="M30" i="4"/>
  <c r="J47" i="6" s="1"/>
  <c r="J97" i="6" s="1"/>
  <c r="I25" i="4"/>
  <c r="F42" i="6" s="1"/>
  <c r="F92" i="6" s="1"/>
  <c r="H15" i="4"/>
  <c r="E50" i="5" s="1"/>
  <c r="Z9" i="4"/>
  <c r="W44" i="5" s="1"/>
  <c r="V46" i="4"/>
  <c r="S45" i="8" s="1"/>
  <c r="AB39" i="4"/>
  <c r="Y38" i="8" s="1"/>
  <c r="T28" i="4"/>
  <c r="Q45" i="6" s="1"/>
  <c r="T22" i="4"/>
  <c r="Q39" i="6" s="1"/>
  <c r="AC43" i="4"/>
  <c r="Z42" i="8" s="1"/>
  <c r="K33" i="4"/>
  <c r="H50" i="6" s="1"/>
  <c r="H100" i="6" s="1"/>
  <c r="G28" i="4"/>
  <c r="D45" i="6" s="1"/>
  <c r="AE22" i="4"/>
  <c r="M43" i="4"/>
  <c r="J42" i="8" s="1"/>
  <c r="Z32" i="4"/>
  <c r="W49" i="6" s="1"/>
  <c r="W99" i="6" s="1"/>
  <c r="V27" i="4"/>
  <c r="S44" i="6" s="1"/>
  <c r="S94" i="6" s="1"/>
  <c r="E7" i="4"/>
  <c r="B42" i="5" s="1"/>
  <c r="Y42" i="4"/>
  <c r="V41" i="8" s="1"/>
  <c r="J33" i="4"/>
  <c r="G50" i="6" s="1"/>
  <c r="G100" i="6" s="1"/>
  <c r="S28" i="4"/>
  <c r="P45" i="6" s="1"/>
  <c r="P95" i="6" s="1"/>
  <c r="P23" i="4"/>
  <c r="M40" i="6" s="1"/>
  <c r="M90" i="6" s="1"/>
  <c r="S47" i="4"/>
  <c r="P46" i="8" s="1"/>
  <c r="U25" i="4"/>
  <c r="R42" i="6" s="1"/>
  <c r="R92" i="6" s="1"/>
  <c r="T48" i="4"/>
  <c r="Q47" i="8" s="1"/>
  <c r="R32" i="4"/>
  <c r="O49" i="6" s="1"/>
  <c r="O99" i="6" s="1"/>
  <c r="W28" i="4"/>
  <c r="T45" i="6" s="1"/>
  <c r="T95" i="6" s="1"/>
  <c r="H26" i="4"/>
  <c r="E43" i="6" s="1"/>
  <c r="E93" i="6" s="1"/>
  <c r="R42" i="4"/>
  <c r="O41" i="8" s="1"/>
  <c r="AE46" i="4"/>
  <c r="AB45" i="8" s="1"/>
  <c r="K42" i="4"/>
  <c r="H41" i="8" s="1"/>
  <c r="S15" i="4"/>
  <c r="P50" i="5" s="1"/>
  <c r="P27" i="4"/>
  <c r="M44" i="6" s="1"/>
  <c r="M94" i="6" s="1"/>
  <c r="N43" i="4"/>
  <c r="K42" i="8" s="1"/>
  <c r="AA47" i="4"/>
  <c r="X46" i="8" s="1"/>
  <c r="AE33" i="4"/>
  <c r="AB50" i="6" s="1"/>
  <c r="AB100" i="6" s="1"/>
  <c r="AE8" i="4"/>
  <c r="AB43" i="5" s="1"/>
  <c r="L15" i="4"/>
  <c r="I50" i="5" s="1"/>
  <c r="AD27" i="4"/>
  <c r="AA44" i="6" s="1"/>
  <c r="AA94" i="6" s="1"/>
  <c r="H43" i="4"/>
  <c r="E42" i="8" s="1"/>
  <c r="P28" i="4"/>
  <c r="M45" i="6" s="1"/>
  <c r="K49" i="4"/>
  <c r="H48" i="8" s="1"/>
  <c r="F41" i="4"/>
  <c r="C40" i="8" s="1"/>
  <c r="G31" i="4"/>
  <c r="D48" i="6" s="1"/>
  <c r="D98" i="6" s="1"/>
  <c r="P26" i="4"/>
  <c r="M43" i="6" s="1"/>
  <c r="M93" i="6" s="1"/>
  <c r="T7" i="4"/>
  <c r="Q42" i="5" s="1"/>
  <c r="I28" i="4"/>
  <c r="F45" i="6" s="1"/>
  <c r="F95" i="6" s="1"/>
  <c r="L10" i="4"/>
  <c r="I45" i="5" s="1"/>
  <c r="Z33" i="4"/>
  <c r="W50" i="6" s="1"/>
  <c r="W100" i="6" s="1"/>
  <c r="AE29" i="4"/>
  <c r="AB46" i="6" s="1"/>
  <c r="AB96" i="6" s="1"/>
  <c r="AB27" i="4"/>
  <c r="Y44" i="6" s="1"/>
  <c r="Y94" i="6" s="1"/>
  <c r="Z43" i="4"/>
  <c r="W42" i="8" s="1"/>
  <c r="K48" i="4"/>
  <c r="H47" i="8" s="1"/>
  <c r="AA31" i="4"/>
  <c r="X48" i="6" s="1"/>
  <c r="X98" i="6" s="1"/>
  <c r="Q44" i="4"/>
  <c r="N43" i="8" s="1"/>
  <c r="U49" i="4"/>
  <c r="R48" i="8" s="1"/>
  <c r="G40" i="4"/>
  <c r="D39" i="8" s="1"/>
  <c r="W12" i="4"/>
  <c r="T47" i="5" s="1"/>
  <c r="Q6" i="4"/>
  <c r="N41" i="5" s="1"/>
  <c r="V5" i="4"/>
  <c r="S40" i="5" s="1"/>
  <c r="Y12" i="4"/>
  <c r="V47" i="5" s="1"/>
  <c r="F10" i="4"/>
  <c r="C45" i="5" s="1"/>
  <c r="Q16" i="4"/>
  <c r="N51" i="5" s="1"/>
  <c r="Q26" i="4"/>
  <c r="N43" i="6" s="1"/>
  <c r="N93" i="6" s="1"/>
  <c r="U31" i="4"/>
  <c r="R48" i="6" s="1"/>
  <c r="R98" i="6" s="1"/>
  <c r="U41" i="4"/>
  <c r="R40" i="8" s="1"/>
  <c r="T50" i="4"/>
  <c r="Q49" i="8" s="1"/>
  <c r="AA13" i="4"/>
  <c r="X48" i="5" s="1"/>
  <c r="AD23" i="4"/>
  <c r="AA40" i="6" s="1"/>
  <c r="AA90" i="6" s="1"/>
  <c r="F29" i="4"/>
  <c r="C46" i="6" s="1"/>
  <c r="C96" i="6" s="1"/>
  <c r="F39" i="4"/>
  <c r="AA45" i="4"/>
  <c r="X44" i="8" s="1"/>
  <c r="J15" i="4"/>
  <c r="G50" i="5" s="1"/>
  <c r="K25" i="4"/>
  <c r="H42" i="6" s="1"/>
  <c r="H92" i="6" s="1"/>
  <c r="O30" i="4"/>
  <c r="L47" i="6" s="1"/>
  <c r="L97" i="6" s="1"/>
  <c r="O40" i="4"/>
  <c r="L39" i="8" s="1"/>
  <c r="AA46" i="4"/>
  <c r="X45" i="8" s="1"/>
  <c r="L22" i="4"/>
  <c r="I39" i="6" s="1"/>
  <c r="L28" i="4"/>
  <c r="I45" i="6" s="1"/>
  <c r="I95" i="6" s="1"/>
  <c r="H39" i="4"/>
  <c r="E38" i="8" s="1"/>
  <c r="I45" i="4"/>
  <c r="F44" i="8" s="1"/>
  <c r="U47" i="4"/>
  <c r="R46" i="8" s="1"/>
  <c r="J44" i="4"/>
  <c r="G43" i="8" s="1"/>
  <c r="N49" i="4"/>
  <c r="K48" i="8" s="1"/>
  <c r="U48" i="4"/>
  <c r="R47" i="8" s="1"/>
  <c r="J48" i="4"/>
  <c r="G47" i="8" s="1"/>
  <c r="W48" i="4"/>
  <c r="T47" i="8" s="1"/>
  <c r="L48" i="4"/>
  <c r="I47" i="8" s="1"/>
  <c r="Y45" i="4"/>
  <c r="V44" i="8" s="1"/>
  <c r="AC50" i="4"/>
  <c r="Z49" i="8" s="1"/>
  <c r="W29" i="4"/>
  <c r="T46" i="6" s="1"/>
  <c r="T96" i="6" s="1"/>
  <c r="E11" i="4"/>
  <c r="B46" i="5" s="1"/>
  <c r="H5" i="4"/>
  <c r="E40" i="5" s="1"/>
  <c r="W16" i="4"/>
  <c r="T51" i="5" s="1"/>
  <c r="AA25" i="4"/>
  <c r="X42" i="6" s="1"/>
  <c r="X92" i="6" s="1"/>
  <c r="J5" i="4"/>
  <c r="G40" i="5" s="1"/>
  <c r="AD29" i="4"/>
  <c r="AA46" i="6" s="1"/>
  <c r="AA96" i="6" s="1"/>
  <c r="AD39" i="4"/>
  <c r="AA38" i="8" s="1"/>
  <c r="W47" i="4"/>
  <c r="T46" i="8" s="1"/>
  <c r="G16" i="4"/>
  <c r="D51" i="5" s="1"/>
  <c r="G26" i="4"/>
  <c r="D43" i="6" s="1"/>
  <c r="D93" i="6" s="1"/>
  <c r="K31" i="4"/>
  <c r="H48" i="6" s="1"/>
  <c r="H98" i="6" s="1"/>
  <c r="K41" i="4"/>
  <c r="H40" i="8" s="1"/>
  <c r="AA48" i="4"/>
  <c r="X47" i="8" s="1"/>
  <c r="H23" i="4"/>
  <c r="E40" i="6" s="1"/>
  <c r="E90" i="6" s="1"/>
  <c r="H29" i="4"/>
  <c r="E46" i="6" s="1"/>
  <c r="P40" i="4"/>
  <c r="M39" i="8" s="1"/>
  <c r="AB46" i="4"/>
  <c r="Y45" i="8" s="1"/>
  <c r="Q48" i="4"/>
  <c r="N47" i="8" s="1"/>
  <c r="F45" i="4"/>
  <c r="C44" i="8" s="1"/>
  <c r="J50" i="4"/>
  <c r="G49" i="8" s="1"/>
  <c r="Q49" i="4"/>
  <c r="N48" i="8" s="1"/>
  <c r="F49" i="4"/>
  <c r="C48" i="8" s="1"/>
  <c r="S49" i="4"/>
  <c r="P48" i="8" s="1"/>
  <c r="H49" i="4"/>
  <c r="E48" i="8" s="1"/>
  <c r="U46" i="4"/>
  <c r="R45" i="8" s="1"/>
  <c r="AE50" i="4"/>
  <c r="AB49" i="8" s="1"/>
  <c r="O25" i="4"/>
  <c r="L42" i="6" s="1"/>
  <c r="L92" i="6" s="1"/>
  <c r="AE9" i="4"/>
  <c r="AB44" i="5" s="1"/>
  <c r="H9" i="4"/>
  <c r="E44" i="5" s="1"/>
  <c r="N40" i="4"/>
  <c r="K39" i="8" s="1"/>
  <c r="Z48" i="4"/>
  <c r="W47" i="8" s="1"/>
  <c r="S16" i="4"/>
  <c r="P51" i="5" s="1"/>
  <c r="S26" i="4"/>
  <c r="P43" i="6" s="1"/>
  <c r="P93" i="6" s="1"/>
  <c r="W31" i="4"/>
  <c r="T48" i="6" s="1"/>
  <c r="T98" i="6" s="1"/>
  <c r="W41" i="4"/>
  <c r="T40" i="8" s="1"/>
  <c r="AA49" i="4"/>
  <c r="X48" i="8" s="1"/>
  <c r="T23" i="4"/>
  <c r="Q40" i="6" s="1"/>
  <c r="Q90" i="6" s="1"/>
  <c r="T29" i="4"/>
  <c r="Q46" i="6" s="1"/>
  <c r="Q96" i="6" s="1"/>
  <c r="AB40" i="4"/>
  <c r="Y39" i="8" s="1"/>
  <c r="AD47" i="4"/>
  <c r="AA46" i="8" s="1"/>
  <c r="AC48" i="4"/>
  <c r="Z47" i="8" s="1"/>
  <c r="R45" i="4"/>
  <c r="O44" i="8" s="1"/>
  <c r="V50" i="4"/>
  <c r="S49" i="8" s="1"/>
  <c r="AC49" i="4"/>
  <c r="Z48" i="8" s="1"/>
  <c r="R49" i="4"/>
  <c r="O48" i="8" s="1"/>
  <c r="AE49" i="4"/>
  <c r="AB48" i="8" s="1"/>
  <c r="T49" i="4"/>
  <c r="Q48" i="8" s="1"/>
  <c r="E47" i="4"/>
  <c r="B46" i="8" s="1"/>
  <c r="G14" i="4"/>
  <c r="D49" i="5" s="1"/>
  <c r="K23" i="4"/>
  <c r="H40" i="6" s="1"/>
  <c r="H90" i="6" s="1"/>
  <c r="Q9" i="4"/>
  <c r="N44" i="5" s="1"/>
  <c r="Y5" i="4"/>
  <c r="V40" i="5" s="1"/>
  <c r="F7" i="4"/>
  <c r="C42" i="5" s="1"/>
  <c r="W11" i="4"/>
  <c r="T46" i="5" s="1"/>
  <c r="J12" i="4"/>
  <c r="G47" i="5" s="1"/>
  <c r="F14" i="4"/>
  <c r="C49" i="5" s="1"/>
  <c r="S40" i="4"/>
  <c r="P39" i="8" s="1"/>
  <c r="AB14" i="4"/>
  <c r="Y49" i="5" s="1"/>
  <c r="G6" i="4"/>
  <c r="D41" i="5" s="1"/>
  <c r="F16" i="4"/>
  <c r="C51" i="5" s="1"/>
  <c r="F26" i="4"/>
  <c r="C43" i="6" s="1"/>
  <c r="C93" i="6" s="1"/>
  <c r="J31" i="4"/>
  <c r="G48" i="6" s="1"/>
  <c r="G98" i="6" s="1"/>
  <c r="J41" i="4"/>
  <c r="G40" i="8" s="1"/>
  <c r="X50" i="4"/>
  <c r="U49" i="8" s="1"/>
  <c r="K22" i="4"/>
  <c r="H39" i="6" s="1"/>
  <c r="O27" i="4"/>
  <c r="L44" i="6" s="1"/>
  <c r="L94" i="6" s="1"/>
  <c r="S32" i="4"/>
  <c r="P49" i="6" s="1"/>
  <c r="P99" i="6" s="1"/>
  <c r="T42" i="4"/>
  <c r="Q41" i="8" s="1"/>
  <c r="AC13" i="4"/>
  <c r="Z48" i="5" s="1"/>
  <c r="AB24" i="4"/>
  <c r="Y41" i="6" s="1"/>
  <c r="Y91" i="6" s="1"/>
  <c r="AB30" i="4"/>
  <c r="Y47" i="6" s="1"/>
  <c r="Y97" i="6" s="1"/>
  <c r="X41" i="4"/>
  <c r="U40" i="8" s="1"/>
  <c r="AB49" i="4"/>
  <c r="Y48" i="8" s="1"/>
  <c r="Y49" i="4"/>
  <c r="V48" i="8" s="1"/>
  <c r="N46" i="4"/>
  <c r="K45" i="8" s="1"/>
  <c r="U45" i="4"/>
  <c r="R44" i="8" s="1"/>
  <c r="Y50" i="4"/>
  <c r="V49" i="8" s="1"/>
  <c r="N50" i="4"/>
  <c r="K49" i="8" s="1"/>
  <c r="AA50" i="4"/>
  <c r="X49" i="8" s="1"/>
  <c r="AB50" i="4"/>
  <c r="Y49" i="8" s="1"/>
  <c r="AC47" i="4"/>
  <c r="Z46" i="8" s="1"/>
  <c r="S7" i="4"/>
  <c r="P42" i="5" s="1"/>
  <c r="Q15" i="4"/>
  <c r="N50" i="5" s="1"/>
  <c r="O8" i="4"/>
  <c r="L43" i="5" s="1"/>
  <c r="J11" i="4"/>
  <c r="G46" i="5" s="1"/>
  <c r="R8" i="4"/>
  <c r="O43" i="5" s="1"/>
  <c r="E39" i="4"/>
  <c r="B38" i="8" s="1"/>
  <c r="R44" i="4"/>
  <c r="O43" i="8" s="1"/>
  <c r="I11" i="4"/>
  <c r="F46" i="5" s="1"/>
  <c r="R16" i="4"/>
  <c r="O51" i="5" s="1"/>
  <c r="R26" i="4"/>
  <c r="O43" i="6" s="1"/>
  <c r="O93" i="6" s="1"/>
  <c r="V31" i="4"/>
  <c r="S48" i="6" s="1"/>
  <c r="V41" i="4"/>
  <c r="S40" i="8" s="1"/>
  <c r="S12" i="4"/>
  <c r="P47" i="5" s="1"/>
  <c r="W22" i="4"/>
  <c r="T39" i="6" s="1"/>
  <c r="AA27" i="4"/>
  <c r="X44" i="6" s="1"/>
  <c r="X94" i="6" s="1"/>
  <c r="AE32" i="4"/>
  <c r="AB49" i="6" s="1"/>
  <c r="AB99" i="6" s="1"/>
  <c r="E43" i="4"/>
  <c r="B42" i="8" s="1"/>
  <c r="N14" i="4"/>
  <c r="K49" i="5" s="1"/>
  <c r="L25" i="4"/>
  <c r="I42" i="6" s="1"/>
  <c r="I92" i="6" s="1"/>
  <c r="L31" i="4"/>
  <c r="I48" i="6" s="1"/>
  <c r="I98" i="6" s="1"/>
  <c r="H42" i="4"/>
  <c r="E41" i="8" s="1"/>
  <c r="E45" i="4"/>
  <c r="B44" i="8" s="1"/>
  <c r="I50" i="4"/>
  <c r="F49" i="8" s="1"/>
  <c r="Z46" i="4"/>
  <c r="W45" i="8" s="1"/>
  <c r="E46" i="4"/>
  <c r="B45" i="8" s="1"/>
  <c r="V45" i="4"/>
  <c r="S44" i="8" s="1"/>
  <c r="Z50" i="4"/>
  <c r="W49" i="8" s="1"/>
  <c r="L45" i="4"/>
  <c r="I44" i="8" s="1"/>
  <c r="I43" i="4"/>
  <c r="F42" i="8" s="1"/>
  <c r="M48" i="4"/>
  <c r="J47" i="8" s="1"/>
  <c r="K5" i="4"/>
  <c r="H40" i="5" s="1"/>
  <c r="U14" i="4"/>
  <c r="R49" i="5" s="1"/>
  <c r="AC7" i="4"/>
  <c r="Z42" i="5" s="1"/>
  <c r="F8" i="4"/>
  <c r="C43" i="5" s="1"/>
  <c r="AG127" i="2"/>
  <c r="B128" i="2"/>
  <c r="B3" i="2" s="1"/>
  <c r="AF127" i="2"/>
  <c r="AC127" i="2"/>
  <c r="AH127" i="2"/>
  <c r="AE127" i="2"/>
  <c r="AD127" i="2"/>
  <c r="AC8" i="4"/>
  <c r="Z43" i="5" s="1"/>
  <c r="K14" i="4"/>
  <c r="H49" i="5" s="1"/>
  <c r="M24" i="4"/>
  <c r="J41" i="6" s="1"/>
  <c r="J91" i="6" s="1"/>
  <c r="Q29" i="4"/>
  <c r="N46" i="6" s="1"/>
  <c r="N96" i="6" s="1"/>
  <c r="Q39" i="4"/>
  <c r="N38" i="8" s="1"/>
  <c r="Z45" i="4"/>
  <c r="W44" i="8" s="1"/>
  <c r="U11" i="4"/>
  <c r="R46" i="5" s="1"/>
  <c r="AD16" i="4"/>
  <c r="AA51" i="5" s="1"/>
  <c r="AD26" i="4"/>
  <c r="AA43" i="6" s="1"/>
  <c r="AA93" i="6" s="1"/>
  <c r="F32" i="4"/>
  <c r="C49" i="6" s="1"/>
  <c r="C99" i="6" s="1"/>
  <c r="F42" i="4"/>
  <c r="C41" i="8" s="1"/>
  <c r="AE12" i="4"/>
  <c r="AB47" i="5" s="1"/>
  <c r="G23" i="4"/>
  <c r="D40" i="6" s="1"/>
  <c r="D90" i="6" s="1"/>
  <c r="C109" i="6" s="1"/>
  <c r="K28" i="4"/>
  <c r="H45" i="6" s="1"/>
  <c r="H95" i="6" s="1"/>
  <c r="O33" i="4"/>
  <c r="L50" i="6" s="1"/>
  <c r="L100" i="6" s="1"/>
  <c r="S43" i="4"/>
  <c r="P42" i="8" s="1"/>
  <c r="Z14" i="4"/>
  <c r="W49" i="5" s="1"/>
  <c r="X25" i="4"/>
  <c r="U42" i="6" s="1"/>
  <c r="U92" i="6" s="1"/>
  <c r="X31" i="4"/>
  <c r="U48" i="6" s="1"/>
  <c r="U98" i="6" s="1"/>
  <c r="U42" i="4"/>
  <c r="R41" i="8" s="1"/>
  <c r="Q45" i="4"/>
  <c r="N44" i="8" s="1"/>
  <c r="U50" i="4"/>
  <c r="R49" i="8" s="1"/>
  <c r="J47" i="4"/>
  <c r="G46" i="8" s="1"/>
  <c r="Q46" i="4"/>
  <c r="N45" i="8" s="1"/>
  <c r="F46" i="4"/>
  <c r="C45" i="8" s="1"/>
  <c r="S46" i="4"/>
  <c r="P45" i="8" s="1"/>
  <c r="X45" i="4"/>
  <c r="U44" i="8" s="1"/>
  <c r="U43" i="4"/>
  <c r="R42" i="8" s="1"/>
  <c r="Y48" i="4"/>
  <c r="V47" i="8" s="1"/>
  <c r="Y44" i="4"/>
  <c r="V43" i="8" s="1"/>
  <c r="AE13" i="4"/>
  <c r="AB48" i="5" s="1"/>
  <c r="P7" i="4"/>
  <c r="M42" i="5" s="1"/>
  <c r="W23" i="4"/>
  <c r="T40" i="6" s="1"/>
  <c r="T90" i="6" s="1"/>
  <c r="G48" i="4"/>
  <c r="D47" i="8" s="1"/>
  <c r="Q40" i="5"/>
  <c r="F3" i="2" l="1"/>
  <c r="F2" i="2"/>
  <c r="I52" i="5"/>
  <c r="N102" i="6"/>
  <c r="X50" i="8"/>
  <c r="Z52" i="6"/>
  <c r="O17" i="4"/>
  <c r="Q50" i="8"/>
  <c r="X17" i="4"/>
  <c r="T50" i="8"/>
  <c r="P51" i="8"/>
  <c r="AB34" i="4"/>
  <c r="G17" i="4"/>
  <c r="D52" i="5"/>
  <c r="F50" i="8"/>
  <c r="E34" i="4"/>
  <c r="AE34" i="4"/>
  <c r="L52" i="5"/>
  <c r="Z102" i="6"/>
  <c r="L50" i="8"/>
  <c r="K52" i="6"/>
  <c r="N34" i="4"/>
  <c r="W52" i="5"/>
  <c r="E17" i="4"/>
  <c r="J52" i="5"/>
  <c r="W51" i="4"/>
  <c r="F51" i="8"/>
  <c r="R102" i="6"/>
  <c r="V53" i="5"/>
  <c r="H51" i="8"/>
  <c r="U50" i="8"/>
  <c r="Y102" i="6"/>
  <c r="L51" i="4"/>
  <c r="I17" i="4"/>
  <c r="R17" i="4"/>
  <c r="D52" i="6"/>
  <c r="Y52" i="5"/>
  <c r="Q52" i="5"/>
  <c r="B40" i="5"/>
  <c r="AC40" i="5" s="1"/>
  <c r="AB53" i="5"/>
  <c r="AA53" i="5"/>
  <c r="B39" i="6"/>
  <c r="B51" i="6" s="1"/>
  <c r="F52" i="6"/>
  <c r="AB39" i="6"/>
  <c r="AB51" i="6" s="1"/>
  <c r="C52" i="5"/>
  <c r="Z51" i="8"/>
  <c r="B53" i="5"/>
  <c r="F52" i="5"/>
  <c r="AC49" i="6"/>
  <c r="AC99" i="6" s="1"/>
  <c r="P52" i="5"/>
  <c r="U52" i="5"/>
  <c r="O34" i="4"/>
  <c r="W52" i="6"/>
  <c r="Y50" i="8"/>
  <c r="J34" i="4"/>
  <c r="Y52" i="6"/>
  <c r="F53" i="5"/>
  <c r="G52" i="5"/>
  <c r="U53" i="5"/>
  <c r="K52" i="5"/>
  <c r="AB52" i="6"/>
  <c r="R52" i="5"/>
  <c r="C102" i="6"/>
  <c r="H17" i="4"/>
  <c r="I38" i="8"/>
  <c r="I50" i="8" s="1"/>
  <c r="J17" i="4"/>
  <c r="U34" i="4"/>
  <c r="Q34" i="4"/>
  <c r="F34" i="4"/>
  <c r="H102" i="6"/>
  <c r="V52" i="5"/>
  <c r="F102" i="6"/>
  <c r="H52" i="5"/>
  <c r="O52" i="5"/>
  <c r="Z17" i="4"/>
  <c r="C52" i="6"/>
  <c r="G51" i="8"/>
  <c r="G53" i="5"/>
  <c r="X53" i="5"/>
  <c r="S52" i="5"/>
  <c r="D51" i="8"/>
  <c r="W51" i="8"/>
  <c r="E51" i="8"/>
  <c r="T52" i="5"/>
  <c r="N52" i="6"/>
  <c r="P52" i="6"/>
  <c r="H50" i="8"/>
  <c r="Z50" i="8"/>
  <c r="N50" i="8"/>
  <c r="J102" i="6"/>
  <c r="AC49" i="8"/>
  <c r="AC49" i="5"/>
  <c r="AC42" i="5"/>
  <c r="O102" i="6"/>
  <c r="AB102" i="6"/>
  <c r="T53" i="5"/>
  <c r="AC44" i="5"/>
  <c r="Y51" i="8"/>
  <c r="K53" i="5"/>
  <c r="AA102" i="6"/>
  <c r="S53" i="5"/>
  <c r="AC48" i="8"/>
  <c r="K17" i="4"/>
  <c r="R51" i="8"/>
  <c r="F51" i="4"/>
  <c r="N53" i="5"/>
  <c r="AA51" i="8"/>
  <c r="M53" i="5"/>
  <c r="AC48" i="5"/>
  <c r="O53" i="5"/>
  <c r="AC46" i="8"/>
  <c r="AC40" i="8"/>
  <c r="J51" i="8"/>
  <c r="Z53" i="5"/>
  <c r="AC51" i="5"/>
  <c r="AA34" i="4"/>
  <c r="N51" i="8"/>
  <c r="I53" i="5"/>
  <c r="Q51" i="8"/>
  <c r="X102" i="6"/>
  <c r="C53" i="5"/>
  <c r="C51" i="8"/>
  <c r="V51" i="8"/>
  <c r="M34" i="4"/>
  <c r="AC40" i="6"/>
  <c r="AC90" i="6" s="1"/>
  <c r="R53" i="5"/>
  <c r="I51" i="8"/>
  <c r="Y53" i="5"/>
  <c r="J52" i="6"/>
  <c r="P50" i="8"/>
  <c r="U95" i="6"/>
  <c r="U102" i="6" s="1"/>
  <c r="U52" i="6"/>
  <c r="AA50" i="8"/>
  <c r="AE17" i="4"/>
  <c r="AC44" i="8"/>
  <c r="T34" i="4"/>
  <c r="G50" i="8"/>
  <c r="AC41" i="5"/>
  <c r="W34" i="4"/>
  <c r="S98" i="6"/>
  <c r="S102" i="6" s="1"/>
  <c r="S52" i="6"/>
  <c r="T51" i="8"/>
  <c r="I102" i="6"/>
  <c r="AB51" i="8"/>
  <c r="W53" i="5"/>
  <c r="U17" i="4"/>
  <c r="T52" i="6"/>
  <c r="E52" i="5"/>
  <c r="AD51" i="4"/>
  <c r="AB52" i="5"/>
  <c r="AC47" i="5"/>
  <c r="J51" i="4"/>
  <c r="E51" i="4"/>
  <c r="AC50" i="6"/>
  <c r="AC100" i="6" s="1"/>
  <c r="V17" i="4"/>
  <c r="AE51" i="4"/>
  <c r="L34" i="4"/>
  <c r="I34" i="4"/>
  <c r="T51" i="4"/>
  <c r="AC51" i="4"/>
  <c r="Y34" i="4"/>
  <c r="B51" i="8"/>
  <c r="AC45" i="5"/>
  <c r="P102" i="6"/>
  <c r="L53" i="5"/>
  <c r="AC45" i="8"/>
  <c r="X52" i="6"/>
  <c r="AB50" i="8"/>
  <c r="K51" i="4"/>
  <c r="P51" i="4"/>
  <c r="O52" i="6"/>
  <c r="O51" i="8"/>
  <c r="W102" i="6"/>
  <c r="AC42" i="8"/>
  <c r="S51" i="8"/>
  <c r="B96" i="6"/>
  <c r="B52" i="6"/>
  <c r="V52" i="6"/>
  <c r="Q95" i="6"/>
  <c r="Q102" i="6" s="1"/>
  <c r="Q52" i="6"/>
  <c r="H52" i="6"/>
  <c r="P17" i="4"/>
  <c r="AA51" i="4"/>
  <c r="L17" i="4"/>
  <c r="X34" i="4"/>
  <c r="AA17" i="4"/>
  <c r="O51" i="4"/>
  <c r="M50" i="8"/>
  <c r="N51" i="4"/>
  <c r="U51" i="8"/>
  <c r="X51" i="8"/>
  <c r="J53" i="5"/>
  <c r="AC41" i="8"/>
  <c r="E53" i="5"/>
  <c r="L51" i="8"/>
  <c r="G96" i="6"/>
  <c r="G102" i="6" s="1"/>
  <c r="G52" i="6"/>
  <c r="V102" i="6"/>
  <c r="AC43" i="8"/>
  <c r="AA52" i="6"/>
  <c r="I52" i="6"/>
  <c r="J50" i="8"/>
  <c r="AC17" i="4"/>
  <c r="H34" i="4"/>
  <c r="K51" i="8"/>
  <c r="E96" i="6"/>
  <c r="E102" i="6" s="1"/>
  <c r="E52" i="6"/>
  <c r="AC46" i="6"/>
  <c r="AC96" i="6" s="1"/>
  <c r="AC42" i="6"/>
  <c r="AC92" i="6" s="1"/>
  <c r="D53" i="5"/>
  <c r="AC47" i="6"/>
  <c r="AC97" i="6" s="1"/>
  <c r="B97" i="6"/>
  <c r="O50" i="8"/>
  <c r="S51" i="4"/>
  <c r="G51" i="4"/>
  <c r="D95" i="6"/>
  <c r="D102" i="6" s="1"/>
  <c r="AC45" i="6"/>
  <c r="AC95" i="6" s="1"/>
  <c r="AC50" i="5"/>
  <c r="AC39" i="8"/>
  <c r="L52" i="6"/>
  <c r="M95" i="6"/>
  <c r="M102" i="6" s="1"/>
  <c r="M52" i="6"/>
  <c r="M52" i="5"/>
  <c r="R34" i="4"/>
  <c r="X52" i="5"/>
  <c r="AB17" i="4"/>
  <c r="K50" i="8"/>
  <c r="AC41" i="6"/>
  <c r="AC91" i="6" s="1"/>
  <c r="C38" i="8"/>
  <c r="C50" i="8" s="1"/>
  <c r="Z51" i="4"/>
  <c r="T17" i="4"/>
  <c r="Q51" i="4"/>
  <c r="H53" i="5"/>
  <c r="AC43" i="5"/>
  <c r="L102" i="6"/>
  <c r="AC47" i="8"/>
  <c r="T102" i="6"/>
  <c r="AC48" i="6"/>
  <c r="AC98" i="6" s="1"/>
  <c r="K34" i="4"/>
  <c r="AD17" i="4"/>
  <c r="U51" i="4"/>
  <c r="AC46" i="5"/>
  <c r="AC43" i="6"/>
  <c r="AC93" i="6" s="1"/>
  <c r="R51" i="4"/>
  <c r="M51" i="4"/>
  <c r="D50" i="8"/>
  <c r="Z52" i="5"/>
  <c r="S34" i="4"/>
  <c r="F17" i="4"/>
  <c r="N17" i="4"/>
  <c r="AA52" i="5"/>
  <c r="P34" i="4"/>
  <c r="R50" i="8"/>
  <c r="E50" i="8"/>
  <c r="AD34" i="4"/>
  <c r="Q17" i="4"/>
  <c r="V34" i="4"/>
  <c r="AC44" i="6"/>
  <c r="AC94" i="6" s="1"/>
  <c r="V50" i="8"/>
  <c r="V52" i="8" s="1"/>
  <c r="V212" i="8" s="1"/>
  <c r="B201" i="8" s="1"/>
  <c r="R52" i="6"/>
  <c r="Y17" i="4"/>
  <c r="H51" i="4"/>
  <c r="W50" i="8"/>
  <c r="N52" i="5"/>
  <c r="V51" i="4"/>
  <c r="W17" i="4"/>
  <c r="X51" i="4"/>
  <c r="Y51" i="4"/>
  <c r="Z34" i="4"/>
  <c r="S17" i="4"/>
  <c r="M17" i="4"/>
  <c r="I51" i="4"/>
  <c r="AC34" i="4"/>
  <c r="AB51" i="4"/>
  <c r="S50" i="8"/>
  <c r="G34" i="4"/>
  <c r="Q53" i="5"/>
  <c r="M51" i="8"/>
  <c r="K102" i="6"/>
  <c r="P53" i="5"/>
  <c r="O89" i="6"/>
  <c r="O51" i="6"/>
  <c r="H89" i="6"/>
  <c r="H51" i="6"/>
  <c r="E89" i="6"/>
  <c r="E51" i="6"/>
  <c r="V89" i="6"/>
  <c r="V51" i="6"/>
  <c r="M89" i="6"/>
  <c r="M51" i="6"/>
  <c r="T89" i="6"/>
  <c r="T51" i="6"/>
  <c r="B50" i="8"/>
  <c r="C51" i="6"/>
  <c r="C89" i="6"/>
  <c r="L89" i="6"/>
  <c r="L51" i="6"/>
  <c r="U89" i="6"/>
  <c r="U51" i="6"/>
  <c r="Y51" i="6"/>
  <c r="Y89" i="6"/>
  <c r="W89" i="6"/>
  <c r="W51" i="6"/>
  <c r="S89" i="6"/>
  <c r="S51" i="6"/>
  <c r="R89" i="6"/>
  <c r="R51" i="6"/>
  <c r="J89" i="6"/>
  <c r="J51" i="6"/>
  <c r="G89" i="6"/>
  <c r="G51" i="6"/>
  <c r="X89" i="6"/>
  <c r="X51" i="6"/>
  <c r="I89" i="6"/>
  <c r="I51" i="6"/>
  <c r="F89" i="6"/>
  <c r="F51" i="6"/>
  <c r="Q89" i="6"/>
  <c r="Q51" i="6"/>
  <c r="D89" i="6"/>
  <c r="D51" i="6"/>
  <c r="AA51" i="6"/>
  <c r="AA89" i="6"/>
  <c r="P89" i="6"/>
  <c r="P51" i="6"/>
  <c r="Z89" i="6"/>
  <c r="Z51" i="6"/>
  <c r="K89" i="6"/>
  <c r="K51" i="6"/>
  <c r="N89" i="6"/>
  <c r="N51" i="6"/>
  <c r="C53" i="6" l="1"/>
  <c r="I54" i="5"/>
  <c r="B121" i="5" s="1"/>
  <c r="J54" i="5"/>
  <c r="B122" i="5" s="1"/>
  <c r="B145" i="5" s="1"/>
  <c r="Q54" i="5"/>
  <c r="B129" i="5" s="1"/>
  <c r="F52" i="8"/>
  <c r="F212" i="8" s="1"/>
  <c r="B185" i="8" s="1"/>
  <c r="B52" i="5"/>
  <c r="AC52" i="5" s="1"/>
  <c r="Q52" i="8"/>
  <c r="Q212" i="8" s="1"/>
  <c r="B196" i="8" s="1"/>
  <c r="L54" i="5"/>
  <c r="B124" i="5" s="1"/>
  <c r="P52" i="8"/>
  <c r="P212" i="8" s="1"/>
  <c r="B195" i="8" s="1"/>
  <c r="AB52" i="8"/>
  <c r="AB212" i="8" s="1"/>
  <c r="B207" i="8" s="1"/>
  <c r="Y54" i="5"/>
  <c r="B137" i="5" s="1"/>
  <c r="G54" i="5"/>
  <c r="B119" i="5" s="1"/>
  <c r="L52" i="8"/>
  <c r="L212" i="8" s="1"/>
  <c r="B191" i="8" s="1"/>
  <c r="K54" i="5"/>
  <c r="B123" i="5" s="1"/>
  <c r="B146" i="5" s="1"/>
  <c r="D53" i="6"/>
  <c r="Z53" i="6"/>
  <c r="X52" i="8"/>
  <c r="X212" i="8" s="1"/>
  <c r="B203" i="8" s="1"/>
  <c r="AB89" i="6"/>
  <c r="AB101" i="6" s="1"/>
  <c r="AB103" i="6" s="1"/>
  <c r="N133" i="6" s="1"/>
  <c r="N228" i="6" s="1"/>
  <c r="B267" i="6" s="1"/>
  <c r="Y53" i="6"/>
  <c r="T53" i="6"/>
  <c r="Z52" i="8"/>
  <c r="Z212" i="8" s="1"/>
  <c r="B205" i="8" s="1"/>
  <c r="B223" i="8" s="1"/>
  <c r="AC39" i="6"/>
  <c r="AC51" i="6" s="1"/>
  <c r="F54" i="5"/>
  <c r="B118" i="5" s="1"/>
  <c r="E53" i="6"/>
  <c r="AB54" i="5"/>
  <c r="B140" i="5" s="1"/>
  <c r="P54" i="5"/>
  <c r="B128" i="5" s="1"/>
  <c r="B148" i="5" s="1"/>
  <c r="I53" i="6"/>
  <c r="B89" i="6"/>
  <c r="B101" i="6" s="1"/>
  <c r="W52" i="8"/>
  <c r="W212" i="8" s="1"/>
  <c r="B202" i="8" s="1"/>
  <c r="K52" i="8"/>
  <c r="K212" i="8" s="1"/>
  <c r="B190" i="8" s="1"/>
  <c r="P53" i="6"/>
  <c r="H53" i="6"/>
  <c r="S53" i="6"/>
  <c r="D54" i="5"/>
  <c r="B116" i="5" s="1"/>
  <c r="T52" i="8"/>
  <c r="T212" i="8" s="1"/>
  <c r="B199" i="8" s="1"/>
  <c r="R54" i="5"/>
  <c r="B130" i="5" s="1"/>
  <c r="Y52" i="8"/>
  <c r="Y212" i="8" s="1"/>
  <c r="B204" i="8" s="1"/>
  <c r="H52" i="8"/>
  <c r="H212" i="8" s="1"/>
  <c r="B187" i="8" s="1"/>
  <c r="N53" i="6"/>
  <c r="D52" i="8"/>
  <c r="D212" i="8" s="1"/>
  <c r="B183" i="8" s="1"/>
  <c r="V54" i="5"/>
  <c r="B134" i="5" s="1"/>
  <c r="B151" i="5" s="1"/>
  <c r="U52" i="8"/>
  <c r="U212" i="8" s="1"/>
  <c r="B200" i="8" s="1"/>
  <c r="K53" i="6"/>
  <c r="AB53" i="6"/>
  <c r="W53" i="6"/>
  <c r="H54" i="5"/>
  <c r="B120" i="5" s="1"/>
  <c r="F53" i="6"/>
  <c r="M53" i="6"/>
  <c r="AA54" i="5"/>
  <c r="B139" i="5" s="1"/>
  <c r="W54" i="5"/>
  <c r="B135" i="5" s="1"/>
  <c r="B152" i="5" s="1"/>
  <c r="C54" i="5"/>
  <c r="B115" i="5" s="1"/>
  <c r="G52" i="8"/>
  <c r="G212" i="8" s="1"/>
  <c r="B186" i="8" s="1"/>
  <c r="I52" i="8"/>
  <c r="I212" i="8" s="1"/>
  <c r="B188" i="8" s="1"/>
  <c r="N52" i="8"/>
  <c r="N212" i="8" s="1"/>
  <c r="B193" i="8" s="1"/>
  <c r="U54" i="5"/>
  <c r="B133" i="5" s="1"/>
  <c r="B150" i="5" s="1"/>
  <c r="S54" i="5"/>
  <c r="B131" i="5" s="1"/>
  <c r="B149" i="5" s="1"/>
  <c r="Z54" i="5"/>
  <c r="B138" i="5" s="1"/>
  <c r="B153" i="5" s="1"/>
  <c r="C52" i="8"/>
  <c r="C212" i="8" s="1"/>
  <c r="B182" i="8" s="1"/>
  <c r="T54" i="5"/>
  <c r="B132" i="5" s="1"/>
  <c r="X54" i="5"/>
  <c r="B136" i="5" s="1"/>
  <c r="J52" i="8"/>
  <c r="J212" i="8" s="1"/>
  <c r="B189" i="8" s="1"/>
  <c r="AA53" i="6"/>
  <c r="E52" i="8"/>
  <c r="E212" i="8" s="1"/>
  <c r="B184" i="8" s="1"/>
  <c r="O54" i="5"/>
  <c r="B127" i="5" s="1"/>
  <c r="B147" i="5" s="1"/>
  <c r="AC102" i="6"/>
  <c r="M54" i="5"/>
  <c r="B125" i="5" s="1"/>
  <c r="AC53" i="5"/>
  <c r="M52" i="8"/>
  <c r="M212" i="8" s="1"/>
  <c r="B192" i="8" s="1"/>
  <c r="AA52" i="8"/>
  <c r="AA212" i="8" s="1"/>
  <c r="B206" i="8" s="1"/>
  <c r="Q53" i="6"/>
  <c r="R52" i="8"/>
  <c r="R212" i="8" s="1"/>
  <c r="B197" i="8" s="1"/>
  <c r="B102" i="6"/>
  <c r="AF17" i="4"/>
  <c r="AF34" i="4"/>
  <c r="AF51" i="4"/>
  <c r="O53" i="6"/>
  <c r="N54" i="5"/>
  <c r="B126" i="5" s="1"/>
  <c r="J53" i="6"/>
  <c r="R53" i="6"/>
  <c r="B53" i="6"/>
  <c r="AC52" i="6"/>
  <c r="AC51" i="8"/>
  <c r="AC38" i="8"/>
  <c r="O52" i="8"/>
  <c r="O212" i="8" s="1"/>
  <c r="B194" i="8" s="1"/>
  <c r="B221" i="8" s="1"/>
  <c r="X53" i="6"/>
  <c r="E54" i="5"/>
  <c r="B117" i="5" s="1"/>
  <c r="G53" i="6"/>
  <c r="V53" i="6"/>
  <c r="U53" i="6"/>
  <c r="L53" i="6"/>
  <c r="S52" i="8"/>
  <c r="S212" i="8" s="1"/>
  <c r="B198" i="8" s="1"/>
  <c r="B222" i="8" s="1"/>
  <c r="B109" i="6"/>
  <c r="D101" i="6"/>
  <c r="D103" i="6" s="1"/>
  <c r="N109" i="6" s="1"/>
  <c r="N204" i="6" s="1"/>
  <c r="B243" i="6" s="1"/>
  <c r="B131" i="6"/>
  <c r="Z101" i="6"/>
  <c r="Z103" i="6" s="1"/>
  <c r="N131" i="6" s="1"/>
  <c r="N226" i="6" s="1"/>
  <c r="B265" i="6" s="1"/>
  <c r="F101" i="6"/>
  <c r="F103" i="6" s="1"/>
  <c r="N111" i="6" s="1"/>
  <c r="N206" i="6" s="1"/>
  <c r="B245" i="6" s="1"/>
  <c r="B111" i="6"/>
  <c r="B127" i="6"/>
  <c r="V101" i="6"/>
  <c r="V103" i="6" s="1"/>
  <c r="N127" i="6" s="1"/>
  <c r="N222" i="6" s="1"/>
  <c r="B261" i="6" s="1"/>
  <c r="C101" i="6"/>
  <c r="C103" i="6" s="1"/>
  <c r="N108" i="6" s="1"/>
  <c r="N203" i="6" s="1"/>
  <c r="B242" i="6" s="1"/>
  <c r="B108" i="6"/>
  <c r="B123" i="6"/>
  <c r="R101" i="6"/>
  <c r="R103" i="6" s="1"/>
  <c r="N123" i="6" s="1"/>
  <c r="N218" i="6" s="1"/>
  <c r="B257" i="6" s="1"/>
  <c r="B110" i="6"/>
  <c r="E101" i="6"/>
  <c r="E103" i="6" s="1"/>
  <c r="N110" i="6" s="1"/>
  <c r="N205" i="6" s="1"/>
  <c r="B244" i="6" s="1"/>
  <c r="Y101" i="6"/>
  <c r="Y103" i="6" s="1"/>
  <c r="N130" i="6" s="1"/>
  <c r="N225" i="6" s="1"/>
  <c r="B264" i="6" s="1"/>
  <c r="B130" i="6"/>
  <c r="B129" i="6"/>
  <c r="X101" i="6"/>
  <c r="X103" i="6" s="1"/>
  <c r="N129" i="6" s="1"/>
  <c r="N224" i="6" s="1"/>
  <c r="B263" i="6" s="1"/>
  <c r="B122" i="6"/>
  <c r="Q101" i="6"/>
  <c r="Q103" i="6" s="1"/>
  <c r="N122" i="6" s="1"/>
  <c r="N217" i="6" s="1"/>
  <c r="B256" i="6" s="1"/>
  <c r="B112" i="6"/>
  <c r="G101" i="6"/>
  <c r="G103" i="6" s="1"/>
  <c r="N112" i="6" s="1"/>
  <c r="N207" i="6" s="1"/>
  <c r="B246" i="6" s="1"/>
  <c r="B126" i="6"/>
  <c r="U101" i="6"/>
  <c r="U103" i="6" s="1"/>
  <c r="B118" i="6"/>
  <c r="M101" i="6"/>
  <c r="M103" i="6" s="1"/>
  <c r="N118" i="6" s="1"/>
  <c r="N213" i="6" s="1"/>
  <c r="B252" i="6" s="1"/>
  <c r="P101" i="6"/>
  <c r="P103" i="6" s="1"/>
  <c r="N121" i="6" s="1"/>
  <c r="N216" i="6" s="1"/>
  <c r="B255" i="6" s="1"/>
  <c r="B121" i="6"/>
  <c r="B132" i="6"/>
  <c r="AA101" i="6"/>
  <c r="AA103" i="6" s="1"/>
  <c r="N132" i="6" s="1"/>
  <c r="N227" i="6" s="1"/>
  <c r="B266" i="6" s="1"/>
  <c r="J101" i="6"/>
  <c r="J103" i="6" s="1"/>
  <c r="N115" i="6" s="1"/>
  <c r="N210" i="6" s="1"/>
  <c r="B249" i="6" s="1"/>
  <c r="B115" i="6"/>
  <c r="B117" i="6"/>
  <c r="L101" i="6"/>
  <c r="L103" i="6" s="1"/>
  <c r="N117" i="6" s="1"/>
  <c r="N212" i="6" s="1"/>
  <c r="B251" i="6" s="1"/>
  <c r="B119" i="6"/>
  <c r="N101" i="6"/>
  <c r="N103" i="6" s="1"/>
  <c r="N119" i="6" s="1"/>
  <c r="N214" i="6" s="1"/>
  <c r="B253" i="6" s="1"/>
  <c r="B114" i="6"/>
  <c r="I101" i="6"/>
  <c r="I103" i="6" s="1"/>
  <c r="N114" i="6" s="1"/>
  <c r="N209" i="6" s="1"/>
  <c r="B248" i="6" s="1"/>
  <c r="K101" i="6"/>
  <c r="K103" i="6" s="1"/>
  <c r="N116" i="6" s="1"/>
  <c r="N211" i="6" s="1"/>
  <c r="B250" i="6" s="1"/>
  <c r="B116" i="6"/>
  <c r="B124" i="6"/>
  <c r="S101" i="6"/>
  <c r="S103" i="6" s="1"/>
  <c r="N124" i="6" s="1"/>
  <c r="N219" i="6" s="1"/>
  <c r="B258" i="6" s="1"/>
  <c r="AC50" i="8"/>
  <c r="B52" i="8"/>
  <c r="H101" i="6"/>
  <c r="H103" i="6" s="1"/>
  <c r="N113" i="6" s="1"/>
  <c r="N208" i="6" s="1"/>
  <c r="B247" i="6" s="1"/>
  <c r="B113" i="6"/>
  <c r="W101" i="6"/>
  <c r="W103" i="6" s="1"/>
  <c r="N128" i="6" s="1"/>
  <c r="N223" i="6" s="1"/>
  <c r="B262" i="6" s="1"/>
  <c r="B128" i="6"/>
  <c r="B125" i="6"/>
  <c r="T101" i="6"/>
  <c r="T103" i="6" s="1"/>
  <c r="O101" i="6"/>
  <c r="O103" i="6" s="1"/>
  <c r="N120" i="6" s="1"/>
  <c r="N215" i="6" s="1"/>
  <c r="B254" i="6" s="1"/>
  <c r="B120" i="6"/>
  <c r="B54" i="5" l="1"/>
  <c r="AC54" i="5" s="1"/>
  <c r="G3" i="5" s="1"/>
  <c r="AC89" i="6"/>
  <c r="AC101" i="6" s="1"/>
  <c r="AC103" i="6" s="1"/>
  <c r="B107" i="6"/>
  <c r="B133" i="6"/>
  <c r="B103" i="6"/>
  <c r="N107" i="6" s="1"/>
  <c r="N202" i="6" s="1"/>
  <c r="B241" i="6" s="1"/>
  <c r="C241" i="6" s="1"/>
  <c r="AC53" i="6"/>
  <c r="G3" i="6" s="1"/>
  <c r="A257" i="6"/>
  <c r="C257" i="6"/>
  <c r="AC52" i="8"/>
  <c r="G3" i="8" s="1"/>
  <c r="B212" i="8"/>
  <c r="B181" i="8" s="1"/>
  <c r="C246" i="6"/>
  <c r="A246" i="6"/>
  <c r="B275" i="6"/>
  <c r="A254" i="6"/>
  <c r="C254" i="6"/>
  <c r="B277" i="6"/>
  <c r="C258" i="6"/>
  <c r="A258" i="6"/>
  <c r="A249" i="6"/>
  <c r="C249" i="6"/>
  <c r="B279" i="6"/>
  <c r="C262" i="6"/>
  <c r="A262" i="6"/>
  <c r="B281" i="6"/>
  <c r="A267" i="6"/>
  <c r="C267" i="6"/>
  <c r="C252" i="6"/>
  <c r="A252" i="6"/>
  <c r="B280" i="6"/>
  <c r="A265" i="6"/>
  <c r="C265" i="6"/>
  <c r="A264" i="6"/>
  <c r="C264" i="6"/>
  <c r="C251" i="6"/>
  <c r="A251" i="6"/>
  <c r="N125" i="6"/>
  <c r="N220" i="6" s="1"/>
  <c r="B259" i="6" s="1"/>
  <c r="N126" i="6"/>
  <c r="N221" i="6" s="1"/>
  <c r="B260" i="6" s="1"/>
  <c r="C256" i="6"/>
  <c r="A256" i="6"/>
  <c r="A242" i="6"/>
  <c r="C242" i="6"/>
  <c r="C266" i="6"/>
  <c r="A266" i="6"/>
  <c r="A261" i="6"/>
  <c r="B278" i="6"/>
  <c r="C261" i="6"/>
  <c r="C263" i="6"/>
  <c r="A263" i="6"/>
  <c r="C250" i="6"/>
  <c r="A250" i="6"/>
  <c r="B276" i="6"/>
  <c r="A255" i="6"/>
  <c r="C255" i="6"/>
  <c r="C245" i="6"/>
  <c r="A245" i="6"/>
  <c r="C248" i="6"/>
  <c r="A248" i="6"/>
  <c r="A253" i="6"/>
  <c r="C253" i="6"/>
  <c r="C244" i="6"/>
  <c r="A244" i="6"/>
  <c r="C243" i="6"/>
  <c r="A243" i="6"/>
  <c r="C247" i="6"/>
  <c r="A247" i="6"/>
  <c r="A279" i="6" l="1"/>
  <c r="A278" i="6"/>
  <c r="B114" i="5"/>
  <c r="B144" i="5" s="1"/>
  <c r="B274" i="6"/>
  <c r="A241" i="6"/>
  <c r="A275" i="6"/>
  <c r="A280" i="6"/>
  <c r="A260" i="6"/>
  <c r="C260" i="6"/>
  <c r="B208" i="8"/>
  <c r="B224" i="8" s="1"/>
  <c r="B220" i="8"/>
  <c r="A281" i="6"/>
  <c r="C259" i="6"/>
  <c r="A259" i="6"/>
  <c r="A276" i="6"/>
  <c r="A277" i="6"/>
  <c r="AG128" i="2"/>
  <c r="AF128" i="2"/>
  <c r="AE128" i="2"/>
  <c r="AH128" i="2"/>
  <c r="AD128" i="2"/>
  <c r="G2" i="2"/>
  <c r="AC128" i="2"/>
  <c r="A274" i="6" l="1"/>
  <c r="AI2" i="11"/>
  <c r="A12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tc={05D90918-F048-4549-8EE6-DC890D27DC19}</author>
    <author>tc={1EA452A8-1568-4E7E-A6DD-751A676E3245}</author>
    <author>tc={D6D0EAFF-E858-4BBD-9676-BD0E7D5992BB}</author>
    <author>tc={CB1D6D48-CE9A-4469-A520-8CFC829092E2}</author>
    <author>Luis Carlos</author>
    <author>tc={058FB43B-081D-4CEA-B618-06E598E2A0DE}</author>
  </authors>
  <commentList>
    <comment ref="V10" authorId="0" shapeId="0" xr:uid="{05D90918-F048-4549-8EE6-DC890D27DC19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Feito o envio somente de 1 fecho
</t>
      </text>
    </comment>
    <comment ref="AQ17" authorId="1" shapeId="0" xr:uid="{00000000-0006-0000-0800-000002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Menaco por William shuLL</t>
      </text>
    </comment>
    <comment ref="V29" authorId="2" shapeId="0" xr:uid="{D6D0EAFF-E858-4BBD-9676-BD0E7D5992B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FEITO O RESSARCIMENTO DO VALOR DA FECHADURA</t>
      </text>
    </comment>
    <comment ref="AQ29" authorId="3" shapeId="0" xr:uid="{00000000-0006-0000-0800-000004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CALMARJA por ALAMO</t>
      </text>
    </comment>
    <comment ref="AQ32" authorId="4" shapeId="0" xr:uid="{00000000-0006-0000-0800-000005000000}">
      <text>
        <r>
          <rPr>
            <b/>
            <sz val="9"/>
            <color indexed="81"/>
            <rFont val="Tahoma"/>
            <family val="2"/>
          </rPr>
          <t>Luis Carlos:</t>
        </r>
        <r>
          <rPr>
            <sz val="9"/>
            <color indexed="81"/>
            <rFont val="Tahoma"/>
            <family val="2"/>
          </rPr>
          <t xml:space="preserve">
Não é possivél adcionar um fornecedor sem que ele afete a planilha "Valores por Fornecedor" Entretanto é possivél substituir dentre a lista dos 27 que temos atualmente.</t>
        </r>
      </text>
    </comment>
    <comment ref="V111" authorId="5" shapeId="0" xr:uid="{058FB43B-081D-4CEA-B618-06E598E2A0DE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Feito o envio somente de 1 fecho
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Novo(a) Planilha do Microsoft Excel.xlsx!AT_2015" type="102" refreshedVersion="8" minRefreshableVersion="5">
    <extLst>
      <ext xmlns:x15="http://schemas.microsoft.com/office/spreadsheetml/2010/11/main" uri="{DE250136-89BD-433C-8126-D09CA5730AF9}">
        <x15:connection id="AT_2015" autoDelete="1">
          <x15:rangePr sourceName="_xlcn.WorksheetConnection_NovoaPlanilhadoMicrosoftExcel.xlsxAT_20151"/>
        </x15:connection>
      </ext>
    </extLst>
  </connection>
</connections>
</file>

<file path=xl/sharedStrings.xml><?xml version="1.0" encoding="utf-8"?>
<sst xmlns="http://schemas.openxmlformats.org/spreadsheetml/2006/main" count="973" uniqueCount="334">
  <si>
    <t xml:space="preserve">Data </t>
  </si>
  <si>
    <t>Mês</t>
  </si>
  <si>
    <t>Local</t>
  </si>
  <si>
    <t>Cliente</t>
  </si>
  <si>
    <t>Nº SAT</t>
  </si>
  <si>
    <t>Consumidor</t>
  </si>
  <si>
    <t>Qtd</t>
  </si>
  <si>
    <t>Produto</t>
  </si>
  <si>
    <t>Descrição do Produto</t>
  </si>
  <si>
    <t>Fornecedor</t>
  </si>
  <si>
    <t>Problema</t>
  </si>
  <si>
    <t>Responsável</t>
  </si>
  <si>
    <t>Defeito informado pelo cliente</t>
  </si>
  <si>
    <t>Defeito constatado pelo técnico</t>
  </si>
  <si>
    <t>Troca</t>
  </si>
  <si>
    <t>Serviço executado pelo técnico</t>
  </si>
  <si>
    <t>Código do Produto</t>
  </si>
  <si>
    <t>Solicitar Reposição</t>
  </si>
  <si>
    <t>Mão de obra</t>
  </si>
  <si>
    <t>Deslocamento</t>
  </si>
  <si>
    <t>Correio</t>
  </si>
  <si>
    <t>Pedágio</t>
  </si>
  <si>
    <t>Outros</t>
  </si>
  <si>
    <t xml:space="preserve">Custo Total </t>
  </si>
  <si>
    <t>Observações</t>
  </si>
  <si>
    <t>Referencia</t>
  </si>
  <si>
    <t>Mão de Obra</t>
  </si>
  <si>
    <t>Almoço</t>
  </si>
  <si>
    <t>PROBLEMA</t>
  </si>
  <si>
    <t>PRODUTO</t>
  </si>
  <si>
    <t>TROCA</t>
  </si>
  <si>
    <t>FORNECEDORES</t>
  </si>
  <si>
    <t>RESPONSÁVEL</t>
  </si>
  <si>
    <t>Fechadura</t>
  </si>
  <si>
    <t>NAVAS</t>
  </si>
  <si>
    <t>Fabricação</t>
  </si>
  <si>
    <t>Sim</t>
  </si>
  <si>
    <t>Não</t>
  </si>
  <si>
    <t>Bolhas</t>
  </si>
  <si>
    <t>Porta</t>
  </si>
  <si>
    <t>ARLIZ</t>
  </si>
  <si>
    <t>Cupim</t>
  </si>
  <si>
    <t>CAMOMIL</t>
  </si>
  <si>
    <t>MGM</t>
  </si>
  <si>
    <t>Trilhos</t>
  </si>
  <si>
    <t>Janela</t>
  </si>
  <si>
    <t xml:space="preserve">COMPANY </t>
  </si>
  <si>
    <t>Uniportas</t>
  </si>
  <si>
    <t>Empenamento</t>
  </si>
  <si>
    <t>Max Ar</t>
  </si>
  <si>
    <t xml:space="preserve">DALCOMADE </t>
  </si>
  <si>
    <t>Puxador</t>
  </si>
  <si>
    <t>EUCATEX</t>
  </si>
  <si>
    <t>Instalação</t>
  </si>
  <si>
    <t>Rosacea</t>
  </si>
  <si>
    <t>GN - MADEIRAS</t>
  </si>
  <si>
    <t>RIVA</t>
  </si>
  <si>
    <t>Montagem</t>
  </si>
  <si>
    <t>Veneziana</t>
  </si>
  <si>
    <t>IDEAL</t>
  </si>
  <si>
    <t>Montante</t>
  </si>
  <si>
    <t>Vitro</t>
  </si>
  <si>
    <t>IRMÃS NAVAS</t>
  </si>
  <si>
    <t>Batente</t>
  </si>
  <si>
    <t>IMPEL</t>
  </si>
  <si>
    <t>RODEIO</t>
  </si>
  <si>
    <t>SUL PORTAS</t>
  </si>
  <si>
    <t>MAD CASTOR</t>
  </si>
  <si>
    <t>WILLIAM SHULL</t>
  </si>
  <si>
    <t>SANCHES</t>
  </si>
  <si>
    <t>OJ CHUANTS</t>
  </si>
  <si>
    <t>PRESOTTO</t>
  </si>
  <si>
    <t>PIANCE</t>
  </si>
  <si>
    <t>POLTRONIERI</t>
  </si>
  <si>
    <t>PORTO UNIÃO</t>
  </si>
  <si>
    <t>STAM</t>
  </si>
  <si>
    <t>JJ BATENTES</t>
  </si>
  <si>
    <t>ALAMO</t>
  </si>
  <si>
    <t>ALUMINIO 2A</t>
  </si>
  <si>
    <t>UNIPORTAS</t>
  </si>
  <si>
    <t>RELAÇÃO DE VALORES DE ASSISTÊNCIA TÉCNICA COM A RESPONSABILIDADE  DO FORNECEDOR</t>
  </si>
  <si>
    <t>TOTAL</t>
  </si>
  <si>
    <t>Total 1º Sem</t>
  </si>
  <si>
    <t>Total 2º Sem</t>
  </si>
  <si>
    <t xml:space="preserve">Total </t>
  </si>
  <si>
    <t>Rótulos de Linha</t>
  </si>
  <si>
    <t>Total Geral</t>
  </si>
  <si>
    <t>Soma de Qtd</t>
  </si>
  <si>
    <t>Contagem de Nº SAT</t>
  </si>
  <si>
    <t xml:space="preserve">CAMOMIL </t>
  </si>
  <si>
    <t>COMPANY</t>
  </si>
  <si>
    <t>DALCOMADE</t>
  </si>
  <si>
    <t>GN-MADEIRAS</t>
  </si>
  <si>
    <t xml:space="preserve">OJ CHUANTS </t>
  </si>
  <si>
    <t xml:space="preserve">PORTO UNIÃO </t>
  </si>
  <si>
    <t>RELAÇÃO DE VALORES DE ASSISTÊNCIA TÉCNICA COM A RESPONSABILIDADE  UNIPORTAS</t>
  </si>
  <si>
    <t>RELAÇÃO DE VALORES DE ASSISTÊNCIA TÉCNICA COM A RESPONSABILIDADE  DO CONSUMIDOR</t>
  </si>
  <si>
    <t xml:space="preserve">Soma de Custo Total </t>
  </si>
  <si>
    <t>(vazio)</t>
  </si>
  <si>
    <t>2024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</si>
  <si>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</si>
  <si>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</si>
  <si>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</si>
  <si>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</si>
  <si>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</si>
  <si>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</si>
  <si>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</si>
  <si>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</si>
  <si>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</si>
  <si>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</si>
  <si>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</si>
  <si>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</si>
  <si>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UNIPORTAS</t>
  </si>
  <si>
    <t>Soma de ALUMINIO 2A</t>
  </si>
  <si>
    <t>Soma de ALAMO</t>
  </si>
  <si>
    <t>Soma de JJ BATENTES</t>
  </si>
  <si>
    <t>Soma de STAM</t>
  </si>
  <si>
    <t>Soma de SANCHES</t>
  </si>
  <si>
    <t>Soma de RIVA</t>
  </si>
  <si>
    <t>Soma de PRESOTTO</t>
  </si>
  <si>
    <t xml:space="preserve">Soma de PORTO UNIÃO </t>
  </si>
  <si>
    <t>Soma de POLTRONIERI</t>
  </si>
  <si>
    <t>Soma de PIANCE</t>
  </si>
  <si>
    <t xml:space="preserve">Soma de OJ CHUANTS </t>
  </si>
  <si>
    <t>Soma de NAVAS</t>
  </si>
  <si>
    <t>Soma de MGM</t>
  </si>
  <si>
    <t>Soma de WILLIAM SHULL</t>
  </si>
  <si>
    <t>Soma de MAD CASTOR</t>
  </si>
  <si>
    <t>Soma de SUL PORTAS</t>
  </si>
  <si>
    <t>Soma de RODEIO</t>
  </si>
  <si>
    <t>Soma de IMPEL</t>
  </si>
  <si>
    <t>Soma de IRMÃS NAVAS</t>
  </si>
  <si>
    <t>Soma de IDEAL</t>
  </si>
  <si>
    <t>Soma de GN-MADEIRAS</t>
  </si>
  <si>
    <t>Soma de EUCATEX</t>
  </si>
  <si>
    <t>Soma de DALCOMADE</t>
  </si>
  <si>
    <t xml:space="preserve">Soma de CAMOMIL </t>
  </si>
  <si>
    <t>Soma de COMPANY</t>
  </si>
  <si>
    <t>Soma de ARLIZ</t>
  </si>
  <si>
    <t>Valor</t>
  </si>
  <si>
    <t>janeiro-24</t>
  </si>
  <si>
    <t>fevereiro-24</t>
  </si>
  <si>
    <t>março-24</t>
  </si>
  <si>
    <t>abril-24</t>
  </si>
  <si>
    <t>maio-24</t>
  </si>
  <si>
    <t>junho-24</t>
  </si>
  <si>
    <t>julho-24</t>
  </si>
  <si>
    <t>agosto-24</t>
  </si>
  <si>
    <t>setembro-24</t>
  </si>
  <si>
    <t>outubro-24</t>
  </si>
  <si>
    <t>novembro-24</t>
  </si>
  <si>
    <t>dezembro-24</t>
  </si>
  <si>
    <t>valor</t>
  </si>
  <si>
    <t>fornecedor</t>
  </si>
  <si>
    <r>
      <t xml:space="preserve">Os erros identificados são sinalizados como </t>
    </r>
    <r>
      <rPr>
        <sz val="10"/>
        <color rgb="FFFF0000"/>
        <rFont val="Arial"/>
        <family val="2"/>
      </rPr>
      <t>"ERROR"</t>
    </r>
    <r>
      <rPr>
        <sz val="10"/>
        <color theme="0"/>
        <rFont val="Arial"/>
        <family val="2"/>
      </rPr>
      <t xml:space="preserve"> e destacados em </t>
    </r>
    <r>
      <rPr>
        <sz val="10"/>
        <color rgb="FFFF0000"/>
        <rFont val="Arial"/>
        <family val="2"/>
      </rPr>
      <t>vermelho</t>
    </r>
    <r>
      <rPr>
        <sz val="10"/>
        <color theme="0"/>
        <rFont val="Arial"/>
        <family val="2"/>
      </rPr>
      <t xml:space="preserve"> para facilitar a visualização e correção. Este relatório detalha o funcionamento da automatização e foi desenvolvido para verificar falhas no cadastramento de dados, identificar colunas com erros e fornecer um número equivalente ao total de falhas em cada coluna.</t>
    </r>
  </si>
  <si>
    <t>Custo em  Correio</t>
  </si>
  <si>
    <t>Cliente / Modelo Fechadura</t>
  </si>
  <si>
    <t>Verificador Correio</t>
  </si>
  <si>
    <t xml:space="preserve">Custos </t>
  </si>
  <si>
    <t xml:space="preserve">Custos Total com Correio </t>
  </si>
  <si>
    <t xml:space="preserve">Valor Variavel </t>
  </si>
  <si>
    <t>Custos Total DC_2</t>
  </si>
  <si>
    <t>(Tudo)</t>
  </si>
  <si>
    <t xml:space="preserve">"Sim" para filtrar SATs com custos em CORREIOS - "Não" para ocorrências que não houverão custos com CORREIOS </t>
  </si>
  <si>
    <t xml:space="preserve">Verificador </t>
  </si>
  <si>
    <t>Filtre pelo tipo de produto recomendação está sempre em FECHADURA</t>
  </si>
  <si>
    <t>Selecione o Fornecedor para um lista detalhada ou "TUDO" para o valor somados de todos os fornecedores</t>
  </si>
  <si>
    <t>Lista por Modelo</t>
  </si>
  <si>
    <t>"Sim" para ocorrências que necessitaram de solicitação para reposição ou "Não"  para as que não necessitaram</t>
  </si>
  <si>
    <t>MMC COMPANY</t>
  </si>
  <si>
    <t>MENACO MADEIRA</t>
  </si>
  <si>
    <t>Soma de Correio</t>
  </si>
  <si>
    <t xml:space="preserve">    </t>
  </si>
  <si>
    <t>JANEIRO</t>
  </si>
  <si>
    <t>SÃO PAULO</t>
  </si>
  <si>
    <t>KAWAFER</t>
  </si>
  <si>
    <t>113.25</t>
  </si>
  <si>
    <t>DANILO</t>
  </si>
  <si>
    <t>DIVERSAS</t>
  </si>
  <si>
    <t>PORTAS COM PROBLEMAS NA CHAPA TESTA</t>
  </si>
  <si>
    <t>PORTAS COM DEFEITO DE MONTAGEM</t>
  </si>
  <si>
    <t>FEITO O REAJUSTE DE 17 CHAPAS TESTAS</t>
  </si>
  <si>
    <t>SÃO VICENTE</t>
  </si>
  <si>
    <t>GODFER</t>
  </si>
  <si>
    <t>001.26</t>
  </si>
  <si>
    <t>CELSO RODRIGUES</t>
  </si>
  <si>
    <t>FL.P.PIRÂMIDAL MISTA 210X082</t>
  </si>
  <si>
    <t>FOLHAS EMPENADAS</t>
  </si>
  <si>
    <t>MARÇO</t>
  </si>
  <si>
    <t>MAURICIO MADEIRAS</t>
  </si>
  <si>
    <t>012.26</t>
  </si>
  <si>
    <t>FERNANDO</t>
  </si>
  <si>
    <t>FECHADURA INTERNA CROMADA</t>
  </si>
  <si>
    <t>CHAVE NÃO GIRA</t>
  </si>
  <si>
    <t>MECÂNISMO TRAVADO</t>
  </si>
  <si>
    <t>FEITO A TROCA</t>
  </si>
  <si>
    <t>GUARULHOS</t>
  </si>
  <si>
    <t>MERCADO DA REFORMA</t>
  </si>
  <si>
    <t>019.26</t>
  </si>
  <si>
    <t>ANDREIA ALVES</t>
  </si>
  <si>
    <t>P.MILANO PRIMER 210X082</t>
  </si>
  <si>
    <t>FOLHA COM DIFICULDADE DE SE ENCAIXAR NO VÃO</t>
  </si>
  <si>
    <t>DOBRADIÇAS SOLTAS</t>
  </si>
  <si>
    <t>FEITO O AJUSTE</t>
  </si>
  <si>
    <t>WEB PORTAS</t>
  </si>
  <si>
    <t>017.26</t>
  </si>
  <si>
    <t>RICARDO MAMORU</t>
  </si>
  <si>
    <t>P.L.CAMARÃO PR.IMB. 210X072</t>
  </si>
  <si>
    <t>REGIÃO DO PINO QUEBRADO</t>
  </si>
  <si>
    <t>MONTANTE PINO MUITO FINO, ACABOU QUEBRANDO</t>
  </si>
  <si>
    <t>FEITO O CONSERTO</t>
  </si>
  <si>
    <t>016.26</t>
  </si>
  <si>
    <t>MARCOS ROGERIO</t>
  </si>
  <si>
    <t>P.L.PRIMER 210X072</t>
  </si>
  <si>
    <t>FECHO DIFERENTE DO ANUNCIO NO ML</t>
  </si>
  <si>
    <t>PINO CORRETO DEIXADO NA OBRA</t>
  </si>
  <si>
    <t>BRAGANÇA PTA</t>
  </si>
  <si>
    <t>CASA VERDE</t>
  </si>
  <si>
    <t>014.26</t>
  </si>
  <si>
    <t>SILVA RUSSO</t>
  </si>
  <si>
    <t>FECHADURA EXTERNA TACO DE GOLF</t>
  </si>
  <si>
    <t>MAÇANETA COM A BASE TORTA</t>
  </si>
  <si>
    <t>FEITO O ENVIO VIA CORREIO</t>
  </si>
  <si>
    <t>FEVEREIRO</t>
  </si>
  <si>
    <t>SÃO MIGUEL ARCANJO</t>
  </si>
  <si>
    <t>ANGELO PAIOTTI</t>
  </si>
  <si>
    <t>004.26</t>
  </si>
  <si>
    <t>ADIR LOUREIRO</t>
  </si>
  <si>
    <t>FOLHA COM RACHADURAS</t>
  </si>
  <si>
    <t>CENTER MEGA</t>
  </si>
  <si>
    <t>009.26</t>
  </si>
  <si>
    <t>PEDRO FERREIRA</t>
  </si>
  <si>
    <t>FL.P.L.AMESCLA/PINUS 210X070</t>
  </si>
  <si>
    <t>FOLHA EMPENADA</t>
  </si>
  <si>
    <t>TABOÃO DA SERRA</t>
  </si>
  <si>
    <t>169.25</t>
  </si>
  <si>
    <t>NATALIA FERREIRA</t>
  </si>
  <si>
    <t>FL.P.TORNEADA ECO. 10 ALM 210X082</t>
  </si>
  <si>
    <t>PILAR DO SUL</t>
  </si>
  <si>
    <t>005.26</t>
  </si>
  <si>
    <t>JULIO CESAR APARECIDO</t>
  </si>
  <si>
    <t>FECHADURA EXTERNA MODENA</t>
  </si>
  <si>
    <t>LINGUETA QUEBRADA</t>
  </si>
  <si>
    <t>003.26</t>
  </si>
  <si>
    <t>PRISCILA SANTOS</t>
  </si>
  <si>
    <t>P.L.PR.IMBUIA BT.IMBUIA FWCMODENA 210X072</t>
  </si>
  <si>
    <t>BATENTE DE CABEÇA PARA BAIXO</t>
  </si>
  <si>
    <t>CAVA DA FECHADURA DE CABEÇA PRA BAIXO</t>
  </si>
  <si>
    <t>P.BIG BROTHER 210X082</t>
  </si>
  <si>
    <t>FOLHA DE PORTA NÃO ABRE</t>
  </si>
  <si>
    <t>FECHADURA TRAVADA</t>
  </si>
  <si>
    <t>SANTO ANDRÉ</t>
  </si>
  <si>
    <t>008.26</t>
  </si>
  <si>
    <t>AGNALDO PAGLIUCO</t>
  </si>
  <si>
    <t>CILINDRO TRAVADO</t>
  </si>
  <si>
    <t>EMBU DAS ARTES</t>
  </si>
  <si>
    <t>015.26</t>
  </si>
  <si>
    <t>RENAN SANTOS</t>
  </si>
  <si>
    <t>FL.P.L.PRIMER 210X072</t>
  </si>
  <si>
    <t>FOLHA AMASSADA</t>
  </si>
  <si>
    <t>FOLHA COM ONDULAÇÕES</t>
  </si>
  <si>
    <t>ITATIBA</t>
  </si>
  <si>
    <t>SHOPPING DAS ESQUADRIAS</t>
  </si>
  <si>
    <t>025.26</t>
  </si>
  <si>
    <t xml:space="preserve">ARTH RESIDENCE </t>
  </si>
  <si>
    <t>FECHADURA TRAVANDO</t>
  </si>
  <si>
    <t>JUNDIAÍ</t>
  </si>
  <si>
    <t>VENTRICE</t>
  </si>
  <si>
    <t>24.26</t>
  </si>
  <si>
    <t>BRUNO</t>
  </si>
  <si>
    <t>FL.P.AMERICANA ECO. 210X082</t>
  </si>
  <si>
    <t>MONTANTE DESCOLANDO</t>
  </si>
  <si>
    <t>ITAPECERICA DA SERRA</t>
  </si>
  <si>
    <t>BRISA</t>
  </si>
  <si>
    <t>011.26</t>
  </si>
  <si>
    <t>ALLAN HILARIO</t>
  </si>
  <si>
    <t>LINGUETA SEM PRESSÃO</t>
  </si>
  <si>
    <t>ABRIL</t>
  </si>
  <si>
    <t>IDEAL SÓ PORTAS E JANELAS</t>
  </si>
  <si>
    <t>030.26</t>
  </si>
  <si>
    <t>DENILSON BORGES</t>
  </si>
  <si>
    <t>FL.P.BIG BROTHER 210X082</t>
  </si>
  <si>
    <t>PUXADOR MENOR</t>
  </si>
  <si>
    <t>FURO DO PUXADOR FEITO ERRADO</t>
  </si>
  <si>
    <t>DIADEMA</t>
  </si>
  <si>
    <t>CARIGNANO</t>
  </si>
  <si>
    <t>026.26</t>
  </si>
  <si>
    <t>RONALDO GONÇALVES</t>
  </si>
  <si>
    <t>FL.P.L.ANGELIM 210X082</t>
  </si>
  <si>
    <t>FOLHA COM BOLHAS</t>
  </si>
  <si>
    <t>ARAÇOIABA DA SERRA</t>
  </si>
  <si>
    <t>020.26</t>
  </si>
  <si>
    <t>MARINA YAMACHITA</t>
  </si>
  <si>
    <t>FECHADURA INTERNA MODENA</t>
  </si>
  <si>
    <t>PIEDADE</t>
  </si>
  <si>
    <t>021.26</t>
  </si>
  <si>
    <t>VANDERLEIA GODINHO</t>
  </si>
  <si>
    <t>MECÂNISMO QUEBRADO</t>
  </si>
  <si>
    <t>ATATIBA</t>
  </si>
  <si>
    <t>028.26</t>
  </si>
  <si>
    <t>ANTONIO MARCOS</t>
  </si>
  <si>
    <t>FECHADURA EXTERNA NAVAS</t>
  </si>
  <si>
    <t>023.26</t>
  </si>
  <si>
    <t>VITORIA GRAUNON</t>
  </si>
  <si>
    <t>CLIENTE COMPROU OUTRA FECHA POR CONTA PROPRIA</t>
  </si>
  <si>
    <t>SÃO BERNARDO DO CAMPO</t>
  </si>
  <si>
    <t>MONTE OREBI</t>
  </si>
  <si>
    <t>027.26</t>
  </si>
  <si>
    <t>PORTA SEM MAÇANETA</t>
  </si>
  <si>
    <t>ROSIANE MENDES</t>
  </si>
  <si>
    <t>042.26</t>
  </si>
  <si>
    <t>JOSÉ WELLINGTON</t>
  </si>
  <si>
    <t>P.CAMARÃO PR.IMBUIA 210X072</t>
  </si>
  <si>
    <t>LADO DE ABERTURA ERRADO</t>
  </si>
  <si>
    <t>FEITO A INVERSÃO DE LADO</t>
  </si>
  <si>
    <t>COPA VERDE</t>
  </si>
  <si>
    <t>022.26</t>
  </si>
  <si>
    <t>CLINICA VETERINARIA</t>
  </si>
  <si>
    <t>MAÇANETA COM FOLGA</t>
  </si>
  <si>
    <t>FECHADURA SEM PRESSÃO</t>
  </si>
  <si>
    <t>MÁRCIO FERNANDO</t>
  </si>
  <si>
    <t>040.26</t>
  </si>
  <si>
    <t>ANTONIO MACHADO</t>
  </si>
  <si>
    <t>FECHADURA BANHEIRO NAVAS</t>
  </si>
  <si>
    <t>FECHADURA QUEBRADA</t>
  </si>
  <si>
    <t>EMBU GUAÇU</t>
  </si>
  <si>
    <t>ANDERSON RICARDO</t>
  </si>
  <si>
    <t>044.26</t>
  </si>
  <si>
    <t>PUXADOR TORTO</t>
  </si>
  <si>
    <t>PUXADOR RETO DE 60CM</t>
  </si>
  <si>
    <t>OSASCO</t>
  </si>
  <si>
    <t>GILBACI</t>
  </si>
  <si>
    <t>034.26</t>
  </si>
  <si>
    <t>MARCOS SUELIO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</si>
</sst>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&quot;Gasto Médio com cada A. T.&quot;\ \ \ \=\ \ \ &quot;R$&quot;\ #,##0.00;\-&quot;R$&quot;\ #,##0.00"/>
    <numFmt numFmtId="165" formatCode="&quot;R$&quot;\ #,##0.00"/>
    <numFmt numFmtId="166" formatCode="_(&quot;R$&quot;* #,##0.00_);_(&quot;R$&quot;* \(#,##0.00\);_(&quot;R$&quot;* &quot;-&quot;??_);_(@_)"/>
    <numFmt numFmtId="167" formatCode="[$-416]mmmm\-yy;@"/>
    <numFmt numFmtId="168" formatCode="yyyy"/>
    <numFmt numFmtId="169" formatCode="m/d/yyyy"/>
    <numFmt numFmtId="170" formatCode="0&quot;   ERROR&quot;"/>
    <numFmt numFmtId="171" formatCode="000&quot;.25&quot;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 Light"/>
      <family val="1"/>
      <scheme val="major"/>
    </font>
    <font>
      <b/>
      <sz val="11"/>
      <name val="Calibri Light"/>
      <family val="1"/>
      <scheme val="major"/>
    </font>
    <font>
      <sz val="10"/>
      <name val="Arial"/>
      <family val="2"/>
    </font>
    <font>
      <sz val="11"/>
      <name val="Calibri Light"/>
      <family val="1"/>
      <scheme val="major"/>
    </font>
    <font>
      <sz val="10"/>
      <name val="Andalus"/>
      <family val="1"/>
    </font>
    <font>
      <b/>
      <sz val="10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name val="Calibri Light"/>
      <family val="1"/>
      <scheme val="major"/>
    </font>
    <font>
      <sz val="8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1"/>
      <name val="Calibri Light"/>
      <family val="1"/>
      <scheme val="major"/>
    </font>
    <font>
      <sz val="26"/>
      <color theme="0"/>
      <name val="Agency FB"/>
      <family val="2"/>
    </font>
    <font>
      <sz val="9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4"/>
      <color theme="0"/>
      <name val="Calibri Light"/>
      <family val="1"/>
      <scheme val="major"/>
    </font>
    <font>
      <sz val="10"/>
      <color theme="4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11"/>
      <color theme="0"/>
      <name val="Calibri Light"/>
      <family val="2"/>
      <scheme val="maj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781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/>
  </cellStyleXfs>
  <cellXfs count="237">
    <xf numFmtId="0" fontId="0" fillId="0" borderId="0" xfId="0"/>
    <xf numFmtId="0" fontId="4" fillId="2" borderId="0" xfId="0" applyFont="1" applyFill="1" applyAlignment="1">
      <alignment vertical="center"/>
    </xf>
    <xf numFmtId="165" fontId="2" fillId="2" borderId="0" xfId="0" applyNumberFormat="1" applyFont="1" applyFill="1" applyAlignment="1">
      <alignment horizontal="left" vertical="center"/>
    </xf>
    <xf numFmtId="164" fontId="2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4" fontId="7" fillId="0" borderId="2" xfId="2" applyNumberFormat="1" applyBorder="1" applyAlignment="1">
      <alignment horizontal="center" vertical="center"/>
    </xf>
    <xf numFmtId="49" fontId="7" fillId="0" borderId="1" xfId="2" applyNumberFormat="1" applyBorder="1" applyAlignment="1">
      <alignment horizontal="center" vertical="center"/>
    </xf>
    <xf numFmtId="49" fontId="7" fillId="0" borderId="1" xfId="2" applyNumberFormat="1" applyBorder="1" applyAlignment="1">
      <alignment horizontal="center" vertical="center" shrinkToFit="1"/>
    </xf>
    <xf numFmtId="0" fontId="7" fillId="0" borderId="1" xfId="2" applyBorder="1" applyAlignment="1">
      <alignment horizontal="center" vertical="center"/>
    </xf>
    <xf numFmtId="1" fontId="7" fillId="0" borderId="1" xfId="2" applyNumberForma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7" fillId="0" borderId="1" xfId="2" applyBorder="1" applyAlignment="1">
      <alignment horizontal="center" vertical="center" shrinkToFit="1"/>
    </xf>
    <xf numFmtId="0" fontId="9" fillId="0" borderId="1" xfId="2" applyFont="1" applyBorder="1" applyAlignment="1">
      <alignment horizontal="center" vertical="center"/>
    </xf>
    <xf numFmtId="49" fontId="7" fillId="0" borderId="1" xfId="2" applyNumberFormat="1" applyBorder="1" applyAlignment="1">
      <alignment horizontal="left" vertical="center"/>
    </xf>
    <xf numFmtId="44" fontId="7" fillId="0" borderId="1" xfId="1" applyFont="1" applyFill="1" applyBorder="1" applyAlignment="1">
      <alignment horizontal="left" vertical="center"/>
    </xf>
    <xf numFmtId="44" fontId="10" fillId="0" borderId="1" xfId="1" applyFont="1" applyFill="1" applyBorder="1" applyAlignment="1">
      <alignment horizontal="left" vertical="center"/>
    </xf>
    <xf numFmtId="0" fontId="12" fillId="2" borderId="0" xfId="2" applyFont="1" applyFill="1" applyAlignment="1">
      <alignment horizontal="left" vertical="center"/>
    </xf>
    <xf numFmtId="0" fontId="11" fillId="0" borderId="4" xfId="2" applyFont="1" applyBorder="1" applyAlignment="1">
      <alignment horizontal="left" vertical="center"/>
    </xf>
    <xf numFmtId="0" fontId="11" fillId="0" borderId="0" xfId="2" applyFont="1" applyAlignment="1">
      <alignment horizontal="left" vertical="center"/>
    </xf>
    <xf numFmtId="14" fontId="7" fillId="2" borderId="0" xfId="2" applyNumberFormat="1" applyFill="1" applyAlignment="1">
      <alignment horizontal="center" vertical="center"/>
    </xf>
    <xf numFmtId="49" fontId="7" fillId="2" borderId="0" xfId="2" applyNumberFormat="1" applyFill="1" applyAlignment="1">
      <alignment horizontal="center" vertical="center"/>
    </xf>
    <xf numFmtId="0" fontId="7" fillId="2" borderId="0" xfId="2" applyFill="1" applyAlignment="1">
      <alignment horizontal="center" vertical="center"/>
    </xf>
    <xf numFmtId="1" fontId="7" fillId="2" borderId="0" xfId="2" applyNumberFormat="1" applyFill="1" applyAlignment="1">
      <alignment horizontal="center" vertical="center"/>
    </xf>
    <xf numFmtId="0" fontId="8" fillId="2" borderId="0" xfId="2" applyFont="1" applyFill="1" applyAlignment="1">
      <alignment horizontal="center" vertical="center"/>
    </xf>
    <xf numFmtId="0" fontId="7" fillId="2" borderId="0" xfId="2" applyFill="1" applyAlignment="1">
      <alignment horizontal="center" vertical="center" shrinkToFit="1"/>
    </xf>
    <xf numFmtId="0" fontId="9" fillId="2" borderId="0" xfId="2" applyFont="1" applyFill="1" applyAlignment="1">
      <alignment horizontal="center" vertical="center"/>
    </xf>
    <xf numFmtId="49" fontId="7" fillId="2" borderId="0" xfId="2" applyNumberFormat="1" applyFill="1" applyAlignment="1">
      <alignment horizontal="left" vertical="center"/>
    </xf>
    <xf numFmtId="0" fontId="13" fillId="2" borderId="0" xfId="1" applyNumberFormat="1" applyFont="1" applyFill="1" applyBorder="1" applyAlignment="1">
      <alignment horizontal="left" vertical="center"/>
    </xf>
    <xf numFmtId="44" fontId="7" fillId="2" borderId="0" xfId="1" applyFont="1" applyFill="1" applyBorder="1" applyAlignment="1">
      <alignment horizontal="left" vertical="center"/>
    </xf>
    <xf numFmtId="44" fontId="10" fillId="2" borderId="0" xfId="1" applyFont="1" applyFill="1" applyBorder="1" applyAlignment="1">
      <alignment horizontal="left" vertical="center"/>
    </xf>
    <xf numFmtId="14" fontId="0" fillId="0" borderId="0" xfId="0" applyNumberFormat="1"/>
    <xf numFmtId="0" fontId="0" fillId="0" borderId="1" xfId="0" applyBorder="1"/>
    <xf numFmtId="14" fontId="0" fillId="3" borderId="1" xfId="0" applyNumberFormat="1" applyFill="1" applyBorder="1"/>
    <xf numFmtId="14" fontId="0" fillId="4" borderId="1" xfId="0" applyNumberFormat="1" applyFill="1" applyBorder="1"/>
    <xf numFmtId="14" fontId="0" fillId="5" borderId="1" xfId="0" applyNumberFormat="1" applyFill="1" applyBorder="1"/>
    <xf numFmtId="0" fontId="0" fillId="5" borderId="1" xfId="0" applyFill="1" applyBorder="1"/>
    <xf numFmtId="0" fontId="0" fillId="4" borderId="1" xfId="0" applyFill="1" applyBorder="1"/>
    <xf numFmtId="0" fontId="0" fillId="3" borderId="1" xfId="0" applyFill="1" applyBorder="1"/>
    <xf numFmtId="0" fontId="0" fillId="2" borderId="0" xfId="0" applyFill="1"/>
    <xf numFmtId="0" fontId="5" fillId="0" borderId="1" xfId="2" applyFont="1" applyBorder="1" applyAlignment="1">
      <alignment horizontal="left" vertical="center" wrapText="1"/>
    </xf>
    <xf numFmtId="14" fontId="5" fillId="0" borderId="1" xfId="2" applyNumberFormat="1" applyFont="1" applyBorder="1" applyAlignment="1">
      <alignment horizontal="left" vertical="center" wrapText="1"/>
    </xf>
    <xf numFmtId="1" fontId="5" fillId="0" borderId="1" xfId="2" applyNumberFormat="1" applyFont="1" applyBorder="1" applyAlignment="1">
      <alignment horizontal="left" vertical="center" wrapText="1"/>
    </xf>
    <xf numFmtId="0" fontId="5" fillId="0" borderId="1" xfId="2" applyFont="1" applyBorder="1" applyAlignment="1">
      <alignment horizontal="left" vertical="center" shrinkToFit="1"/>
    </xf>
    <xf numFmtId="0" fontId="0" fillId="3" borderId="0" xfId="0" applyFill="1"/>
    <xf numFmtId="0" fontId="18" fillId="3" borderId="7" xfId="0" applyFont="1" applyFill="1" applyBorder="1"/>
    <xf numFmtId="0" fontId="18" fillId="3" borderId="2" xfId="0" applyFont="1" applyFill="1" applyBorder="1"/>
    <xf numFmtId="44" fontId="0" fillId="0" borderId="2" xfId="1" applyFont="1" applyFill="1" applyBorder="1"/>
    <xf numFmtId="44" fontId="3" fillId="0" borderId="1" xfId="1" applyFont="1" applyFill="1" applyBorder="1"/>
    <xf numFmtId="0" fontId="21" fillId="3" borderId="1" xfId="0" applyFont="1" applyFill="1" applyBorder="1"/>
    <xf numFmtId="44" fontId="0" fillId="3" borderId="2" xfId="1" applyFont="1" applyFill="1" applyBorder="1"/>
    <xf numFmtId="44" fontId="3" fillId="3" borderId="1" xfId="1" applyFont="1" applyFill="1" applyBorder="1"/>
    <xf numFmtId="0" fontId="22" fillId="3" borderId="1" xfId="0" applyFont="1" applyFill="1" applyBorder="1" applyAlignment="1">
      <alignment horizontal="center"/>
    </xf>
    <xf numFmtId="44" fontId="3" fillId="7" borderId="1" xfId="1" applyFont="1" applyFill="1" applyBorder="1"/>
    <xf numFmtId="0" fontId="0" fillId="4" borderId="0" xfId="0" applyFill="1"/>
    <xf numFmtId="0" fontId="21" fillId="4" borderId="1" xfId="0" applyFont="1" applyFill="1" applyBorder="1"/>
    <xf numFmtId="44" fontId="0" fillId="4" borderId="2" xfId="1" applyFont="1" applyFill="1" applyBorder="1"/>
    <xf numFmtId="44" fontId="3" fillId="4" borderId="1" xfId="1" applyFont="1" applyFill="1" applyBorder="1"/>
    <xf numFmtId="0" fontId="22" fillId="4" borderId="1" xfId="0" applyFont="1" applyFill="1" applyBorder="1" applyAlignment="1">
      <alignment horizontal="center"/>
    </xf>
    <xf numFmtId="0" fontId="0" fillId="8" borderId="0" xfId="0" applyFill="1"/>
    <xf numFmtId="0" fontId="21" fillId="8" borderId="1" xfId="0" applyFont="1" applyFill="1" applyBorder="1"/>
    <xf numFmtId="44" fontId="0" fillId="8" borderId="2" xfId="1" applyFont="1" applyFill="1" applyBorder="1"/>
    <xf numFmtId="0" fontId="22" fillId="8" borderId="1" xfId="0" applyFont="1" applyFill="1" applyBorder="1" applyAlignment="1">
      <alignment horizontal="center"/>
    </xf>
    <xf numFmtId="44" fontId="3" fillId="8" borderId="1" xfId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20" fillId="2" borderId="0" xfId="0" applyFont="1" applyFill="1"/>
    <xf numFmtId="166" fontId="19" fillId="2" borderId="0" xfId="0" applyNumberFormat="1" applyFont="1" applyFill="1" applyAlignment="1">
      <alignment vertical="center"/>
    </xf>
    <xf numFmtId="0" fontId="7" fillId="10" borderId="1" xfId="2" applyFill="1" applyBorder="1" applyAlignment="1">
      <alignment horizontal="center" vertical="center"/>
    </xf>
    <xf numFmtId="0" fontId="8" fillId="10" borderId="1" xfId="2" applyFont="1" applyFill="1" applyBorder="1" applyAlignment="1">
      <alignment horizontal="center" vertical="center"/>
    </xf>
    <xf numFmtId="0" fontId="18" fillId="4" borderId="9" xfId="0" applyFont="1" applyFill="1" applyBorder="1"/>
    <xf numFmtId="0" fontId="18" fillId="4" borderId="10" xfId="0" applyFont="1" applyFill="1" applyBorder="1"/>
    <xf numFmtId="0" fontId="18" fillId="8" borderId="9" xfId="0" applyFont="1" applyFill="1" applyBorder="1"/>
    <xf numFmtId="0" fontId="18" fillId="8" borderId="10" xfId="0" applyFont="1" applyFill="1" applyBorder="1"/>
    <xf numFmtId="0" fontId="29" fillId="0" borderId="1" xfId="2" applyFont="1" applyBorder="1" applyAlignment="1">
      <alignment horizontal="center" vertical="center"/>
    </xf>
    <xf numFmtId="169" fontId="30" fillId="0" borderId="0" xfId="2" applyNumberFormat="1" applyFont="1" applyAlignment="1">
      <alignment horizontal="center" vertical="center"/>
    </xf>
    <xf numFmtId="49" fontId="30" fillId="0" borderId="1" xfId="2" applyNumberFormat="1" applyFont="1" applyBorder="1" applyAlignment="1">
      <alignment horizontal="center" vertical="center"/>
    </xf>
    <xf numFmtId="49" fontId="30" fillId="0" borderId="0" xfId="2" applyNumberFormat="1" applyFont="1" applyAlignment="1">
      <alignment horizontal="center" vertical="center"/>
    </xf>
    <xf numFmtId="44" fontId="0" fillId="0" borderId="0" xfId="0" applyNumberFormat="1"/>
    <xf numFmtId="44" fontId="0" fillId="0" borderId="7" xfId="1" applyFont="1" applyFill="1" applyBorder="1"/>
    <xf numFmtId="44" fontId="0" fillId="0" borderId="10" xfId="1" applyFont="1" applyFill="1" applyBorder="1"/>
    <xf numFmtId="44" fontId="0" fillId="0" borderId="9" xfId="1" applyFont="1" applyFill="1" applyBorder="1"/>
    <xf numFmtId="168" fontId="18" fillId="8" borderId="12" xfId="0" applyNumberFormat="1" applyFont="1" applyFill="1" applyBorder="1" applyAlignment="1">
      <alignment vertical="center"/>
    </xf>
    <xf numFmtId="0" fontId="0" fillId="8" borderId="5" xfId="0" applyFill="1" applyBorder="1"/>
    <xf numFmtId="0" fontId="0" fillId="8" borderId="11" xfId="0" applyFill="1" applyBorder="1"/>
    <xf numFmtId="167" fontId="20" fillId="0" borderId="2" xfId="0" applyNumberFormat="1" applyFont="1" applyBorder="1" applyAlignment="1">
      <alignment horizontal="center"/>
    </xf>
    <xf numFmtId="167" fontId="20" fillId="0" borderId="10" xfId="0" applyNumberFormat="1" applyFont="1" applyBorder="1" applyAlignment="1">
      <alignment horizontal="center"/>
    </xf>
    <xf numFmtId="168" fontId="18" fillId="4" borderId="13" xfId="0" applyNumberFormat="1" applyFont="1" applyFill="1" applyBorder="1" applyAlignment="1">
      <alignment vertical="center" wrapText="1"/>
    </xf>
    <xf numFmtId="0" fontId="0" fillId="4" borderId="5" xfId="0" applyFill="1" applyBorder="1"/>
    <xf numFmtId="0" fontId="0" fillId="4" borderId="11" xfId="0" applyFill="1" applyBorder="1"/>
    <xf numFmtId="168" fontId="18" fillId="3" borderId="13" xfId="0" applyNumberFormat="1" applyFont="1" applyFill="1" applyBorder="1" applyAlignment="1">
      <alignment vertical="center"/>
    </xf>
    <xf numFmtId="0" fontId="0" fillId="3" borderId="5" xfId="0" applyFill="1" applyBorder="1"/>
    <xf numFmtId="0" fontId="0" fillId="3" borderId="11" xfId="0" applyFill="1" applyBorder="1"/>
    <xf numFmtId="167" fontId="0" fillId="11" borderId="1" xfId="0" applyNumberFormat="1" applyFill="1" applyBorder="1"/>
    <xf numFmtId="0" fontId="0" fillId="11" borderId="1" xfId="0" applyFill="1" applyBorder="1"/>
    <xf numFmtId="44" fontId="0" fillId="0" borderId="1" xfId="0" applyNumberFormat="1" applyBorder="1"/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44" fontId="0" fillId="11" borderId="1" xfId="0" applyNumberFormat="1" applyFill="1" applyBorder="1"/>
    <xf numFmtId="165" fontId="0" fillId="11" borderId="1" xfId="0" applyNumberFormat="1" applyFill="1" applyBorder="1"/>
    <xf numFmtId="165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0" fontId="3" fillId="0" borderId="5" xfId="0" applyFont="1" applyBorder="1"/>
    <xf numFmtId="167" fontId="0" fillId="0" borderId="5" xfId="0" applyNumberFormat="1" applyBorder="1"/>
    <xf numFmtId="0" fontId="3" fillId="0" borderId="11" xfId="0" applyFont="1" applyBorder="1" applyAlignment="1">
      <alignment horizontal="center"/>
    </xf>
    <xf numFmtId="44" fontId="0" fillId="0" borderId="4" xfId="0" applyNumberFormat="1" applyBorder="1"/>
    <xf numFmtId="2" fontId="0" fillId="0" borderId="1" xfId="0" applyNumberFormat="1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0" fillId="0" borderId="13" xfId="0" applyBorder="1"/>
    <xf numFmtId="0" fontId="0" fillId="12" borderId="1" xfId="0" applyFill="1" applyBorder="1"/>
    <xf numFmtId="0" fontId="31" fillId="0" borderId="0" xfId="0" applyFont="1"/>
    <xf numFmtId="0" fontId="23" fillId="2" borderId="0" xfId="0" applyFont="1" applyFill="1" applyAlignment="1">
      <alignment horizontal="center"/>
    </xf>
    <xf numFmtId="0" fontId="3" fillId="5" borderId="1" xfId="0" applyFont="1" applyFill="1" applyBorder="1"/>
    <xf numFmtId="0" fontId="3" fillId="5" borderId="1" xfId="0" applyFont="1" applyFill="1" applyBorder="1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horizontal="center"/>
    </xf>
    <xf numFmtId="44" fontId="0" fillId="0" borderId="1" xfId="0" applyNumberFormat="1" applyBorder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/>
    <xf numFmtId="0" fontId="0" fillId="3" borderId="1" xfId="0" applyFill="1" applyBorder="1" applyAlignment="1">
      <alignment horizontal="center"/>
    </xf>
    <xf numFmtId="165" fontId="0" fillId="0" borderId="4" xfId="0" applyNumberFormat="1" applyBorder="1"/>
    <xf numFmtId="165" fontId="0" fillId="0" borderId="8" xfId="0" applyNumberFormat="1" applyBorder="1"/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6" fillId="2" borderId="1" xfId="2" applyFont="1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24" fillId="2" borderId="0" xfId="0" applyFont="1" applyFill="1" applyAlignment="1">
      <alignment horizontal="center" vertical="center"/>
    </xf>
    <xf numFmtId="0" fontId="7" fillId="2" borderId="1" xfId="2" applyFill="1" applyBorder="1" applyAlignment="1">
      <alignment vertical="center"/>
    </xf>
    <xf numFmtId="14" fontId="7" fillId="2" borderId="1" xfId="2" applyNumberFormat="1" applyFill="1" applyBorder="1" applyAlignment="1">
      <alignment vertical="center"/>
    </xf>
    <xf numFmtId="44" fontId="7" fillId="2" borderId="1" xfId="1" applyFont="1" applyFill="1" applyBorder="1" applyAlignment="1">
      <alignment vertical="center"/>
    </xf>
    <xf numFmtId="0" fontId="25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4" fontId="0" fillId="2" borderId="1" xfId="1" applyFont="1" applyFill="1" applyBorder="1" applyAlignment="1">
      <alignment vertical="center"/>
    </xf>
    <xf numFmtId="0" fontId="25" fillId="2" borderId="0" xfId="0" applyFont="1" applyFill="1" applyAlignment="1">
      <alignment horizontal="center" vertical="center"/>
    </xf>
    <xf numFmtId="44" fontId="0" fillId="2" borderId="0" xfId="1" applyFont="1" applyFill="1" applyBorder="1" applyAlignment="1">
      <alignment vertical="center"/>
    </xf>
    <xf numFmtId="0" fontId="5" fillId="0" borderId="5" xfId="2" applyFont="1" applyBorder="1" applyAlignment="1">
      <alignment horizontal="left" vertical="center" wrapText="1"/>
    </xf>
    <xf numFmtId="170" fontId="6" fillId="2" borderId="1" xfId="0" applyNumberFormat="1" applyFont="1" applyFill="1" applyBorder="1" applyAlignment="1">
      <alignment horizontal="center" vertical="center"/>
    </xf>
    <xf numFmtId="0" fontId="7" fillId="2" borderId="1" xfId="2" applyFill="1" applyBorder="1" applyAlignment="1">
      <alignment horizontal="center" vertical="center"/>
    </xf>
    <xf numFmtId="0" fontId="7" fillId="10" borderId="1" xfId="2" applyFill="1" applyBorder="1" applyAlignment="1">
      <alignment horizontal="center" vertical="center" shrinkToFit="1"/>
    </xf>
    <xf numFmtId="14" fontId="11" fillId="0" borderId="0" xfId="2" applyNumberFormat="1" applyFont="1" applyAlignment="1">
      <alignment horizontal="left" vertical="center"/>
    </xf>
    <xf numFmtId="0" fontId="35" fillId="6" borderId="0" xfId="0" applyFont="1" applyFill="1" applyAlignment="1">
      <alignment horizontal="center" vertical="center"/>
    </xf>
    <xf numFmtId="166" fontId="36" fillId="6" borderId="0" xfId="0" applyNumberFormat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14" fontId="7" fillId="10" borderId="2" xfId="2" applyNumberFormat="1" applyFill="1" applyBorder="1" applyAlignment="1">
      <alignment horizontal="center" vertical="center"/>
    </xf>
    <xf numFmtId="49" fontId="7" fillId="10" borderId="1" xfId="2" applyNumberFormat="1" applyFill="1" applyBorder="1" applyAlignment="1">
      <alignment horizontal="center" vertical="center"/>
    </xf>
    <xf numFmtId="44" fontId="7" fillId="10" borderId="1" xfId="1" applyFont="1" applyFill="1" applyBorder="1" applyAlignment="1">
      <alignment horizontal="left" vertical="center"/>
    </xf>
    <xf numFmtId="0" fontId="9" fillId="10" borderId="1" xfId="2" applyFont="1" applyFill="1" applyBorder="1" applyAlignment="1">
      <alignment horizontal="center" vertical="center"/>
    </xf>
    <xf numFmtId="1" fontId="7" fillId="10" borderId="1" xfId="2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6" borderId="0" xfId="0" applyFont="1" applyFill="1"/>
    <xf numFmtId="0" fontId="10" fillId="0" borderId="0" xfId="2" applyFont="1" applyAlignment="1">
      <alignment horizontal="left" vertical="center"/>
    </xf>
    <xf numFmtId="0" fontId="38" fillId="0" borderId="6" xfId="2" applyFont="1" applyBorder="1" applyAlignment="1">
      <alignment horizontal="left" vertical="center" wrapText="1"/>
    </xf>
    <xf numFmtId="0" fontId="11" fillId="0" borderId="8" xfId="2" applyFont="1" applyBorder="1" applyAlignment="1">
      <alignment horizontal="left" vertical="center"/>
    </xf>
    <xf numFmtId="0" fontId="11" fillId="0" borderId="11" xfId="2" applyFont="1" applyBorder="1" applyAlignment="1">
      <alignment horizontal="left" vertical="center"/>
    </xf>
    <xf numFmtId="14" fontId="11" fillId="0" borderId="4" xfId="2" applyNumberFormat="1" applyFont="1" applyBorder="1" applyAlignment="1">
      <alignment horizontal="left" vertical="center"/>
    </xf>
    <xf numFmtId="0" fontId="36" fillId="6" borderId="1" xfId="2" applyFont="1" applyFill="1" applyBorder="1" applyAlignment="1">
      <alignment horizontal="center" vertical="center"/>
    </xf>
    <xf numFmtId="0" fontId="4" fillId="2" borderId="0" xfId="0" applyFont="1" applyFill="1"/>
    <xf numFmtId="165" fontId="4" fillId="2" borderId="0" xfId="0" applyNumberFormat="1" applyFont="1" applyFill="1"/>
    <xf numFmtId="0" fontId="39" fillId="0" borderId="0" xfId="0" applyFont="1"/>
    <xf numFmtId="165" fontId="39" fillId="0" borderId="0" xfId="0" applyNumberFormat="1" applyFont="1"/>
    <xf numFmtId="0" fontId="39" fillId="0" borderId="1" xfId="0" pivotButton="1" applyFont="1" applyBorder="1"/>
    <xf numFmtId="0" fontId="39" fillId="0" borderId="1" xfId="0" applyFont="1" applyBorder="1"/>
    <xf numFmtId="0" fontId="39" fillId="0" borderId="1" xfId="0" applyFont="1" applyBorder="1" applyAlignment="1">
      <alignment horizontal="left"/>
    </xf>
    <xf numFmtId="165" fontId="39" fillId="0" borderId="1" xfId="0" applyNumberFormat="1" applyFont="1" applyBorder="1"/>
    <xf numFmtId="0" fontId="39" fillId="2" borderId="0" xfId="0" applyFont="1" applyFill="1"/>
    <xf numFmtId="165" fontId="39" fillId="2" borderId="0" xfId="0" applyNumberFormat="1" applyFont="1" applyFill="1"/>
    <xf numFmtId="165" fontId="0" fillId="2" borderId="1" xfId="0" applyNumberFormat="1" applyFill="1" applyBorder="1"/>
    <xf numFmtId="0" fontId="40" fillId="2" borderId="0" xfId="0" applyFont="1" applyFill="1"/>
    <xf numFmtId="165" fontId="40" fillId="2" borderId="0" xfId="0" applyNumberFormat="1" applyFont="1" applyFill="1"/>
    <xf numFmtId="0" fontId="20" fillId="2" borderId="1" xfId="0" applyFont="1" applyFill="1" applyBorder="1"/>
    <xf numFmtId="165" fontId="20" fillId="2" borderId="1" xfId="0" applyNumberFormat="1" applyFont="1" applyFill="1" applyBorder="1"/>
    <xf numFmtId="0" fontId="39" fillId="2" borderId="1" xfId="0" applyFont="1" applyFill="1" applyBorder="1"/>
    <xf numFmtId="165" fontId="39" fillId="2" borderId="1" xfId="0" applyNumberFormat="1" applyFont="1" applyFill="1" applyBorder="1"/>
    <xf numFmtId="0" fontId="39" fillId="2" borderId="14" xfId="0" applyFont="1" applyFill="1" applyBorder="1"/>
    <xf numFmtId="0" fontId="39" fillId="2" borderId="15" xfId="0" applyFont="1" applyFill="1" applyBorder="1"/>
    <xf numFmtId="165" fontId="39" fillId="7" borderId="1" xfId="0" applyNumberFormat="1" applyFont="1" applyFill="1" applyBorder="1"/>
    <xf numFmtId="0" fontId="39" fillId="0" borderId="0" xfId="0" pivotButton="1" applyFont="1"/>
    <xf numFmtId="0" fontId="39" fillId="0" borderId="0" xfId="0" applyFont="1" applyAlignment="1">
      <alignment horizontal="left"/>
    </xf>
    <xf numFmtId="44" fontId="39" fillId="0" borderId="0" xfId="0" applyNumberFormat="1" applyFont="1"/>
    <xf numFmtId="0" fontId="5" fillId="0" borderId="6" xfId="2" applyFont="1" applyBorder="1" applyAlignment="1">
      <alignment horizontal="left" vertical="center" wrapText="1"/>
    </xf>
    <xf numFmtId="166" fontId="33" fillId="6" borderId="0" xfId="0" applyNumberFormat="1" applyFont="1" applyFill="1" applyAlignment="1">
      <alignment horizontal="left" vertical="center"/>
    </xf>
    <xf numFmtId="44" fontId="33" fillId="6" borderId="0" xfId="0" applyNumberFormat="1" applyFont="1" applyFill="1" applyAlignment="1">
      <alignment horizontal="left" vertical="center"/>
    </xf>
    <xf numFmtId="165" fontId="32" fillId="14" borderId="0" xfId="0" applyNumberFormat="1" applyFont="1" applyFill="1" applyAlignment="1">
      <alignment horizontal="center" vertical="center"/>
    </xf>
    <xf numFmtId="49" fontId="7" fillId="10" borderId="1" xfId="2" applyNumberFormat="1" applyFill="1" applyBorder="1" applyAlignment="1">
      <alignment horizontal="center" vertical="center" shrinkToFit="1"/>
    </xf>
    <xf numFmtId="49" fontId="7" fillId="10" borderId="1" xfId="2" applyNumberFormat="1" applyFill="1" applyBorder="1" applyAlignment="1">
      <alignment horizontal="left" vertical="center"/>
    </xf>
    <xf numFmtId="0" fontId="11" fillId="10" borderId="0" xfId="2" applyFont="1" applyFill="1" applyAlignment="1">
      <alignment horizontal="left" vertical="center"/>
    </xf>
    <xf numFmtId="171" fontId="27" fillId="2" borderId="0" xfId="0" applyNumberFormat="1" applyFont="1" applyFill="1" applyAlignment="1">
      <alignment horizontal="center" vertical="center"/>
    </xf>
    <xf numFmtId="171" fontId="6" fillId="2" borderId="1" xfId="0" applyNumberFormat="1" applyFont="1" applyFill="1" applyBorder="1" applyAlignment="1">
      <alignment horizontal="center" vertical="center"/>
    </xf>
    <xf numFmtId="171" fontId="5" fillId="0" borderId="1" xfId="2" applyNumberFormat="1" applyFont="1" applyBorder="1" applyAlignment="1">
      <alignment horizontal="left" vertical="center" wrapText="1"/>
    </xf>
    <xf numFmtId="171" fontId="7" fillId="10" borderId="1" xfId="2" applyNumberFormat="1" applyFill="1" applyBorder="1" applyAlignment="1">
      <alignment horizontal="center" vertical="center"/>
    </xf>
    <xf numFmtId="171" fontId="7" fillId="0" borderId="1" xfId="2" applyNumberFormat="1" applyBorder="1" applyAlignment="1">
      <alignment horizontal="center" vertical="center"/>
    </xf>
    <xf numFmtId="171" fontId="7" fillId="2" borderId="1" xfId="2" applyNumberFormat="1" applyFill="1" applyBorder="1" applyAlignment="1">
      <alignment horizontal="center" vertical="center"/>
    </xf>
    <xf numFmtId="171" fontId="7" fillId="2" borderId="0" xfId="2" applyNumberFormat="1" applyFill="1" applyAlignment="1">
      <alignment horizontal="center" vertical="center"/>
    </xf>
    <xf numFmtId="171" fontId="0" fillId="2" borderId="0" xfId="0" applyNumberFormat="1" applyFill="1"/>
    <xf numFmtId="0" fontId="0" fillId="2" borderId="0" xfId="0" applyFill="1" applyAlignment="1">
      <alignment horizontal="center"/>
    </xf>
    <xf numFmtId="1" fontId="44" fillId="6" borderId="0" xfId="0" applyNumberFormat="1" applyFont="1" applyFill="1" applyAlignment="1">
      <alignment horizontal="center" vertical="center"/>
    </xf>
    <xf numFmtId="1" fontId="28" fillId="9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 indent="1"/>
    </xf>
    <xf numFmtId="0" fontId="0" fillId="2" borderId="1" xfId="0" applyFill="1" applyBorder="1" applyAlignment="1">
      <alignment horizontal="center"/>
    </xf>
    <xf numFmtId="44" fontId="36" fillId="6" borderId="1" xfId="1" applyFont="1" applyFill="1" applyBorder="1" applyAlignment="1">
      <alignment horizontal="left" vertical="center"/>
    </xf>
    <xf numFmtId="44" fontId="26" fillId="0" borderId="1" xfId="1" applyFont="1" applyFill="1" applyBorder="1" applyAlignment="1">
      <alignment horizontal="left" vertical="center"/>
    </xf>
    <xf numFmtId="14" fontId="33" fillId="2" borderId="9" xfId="2" applyNumberFormat="1" applyFont="1" applyFill="1" applyBorder="1" applyAlignment="1">
      <alignment horizontal="left"/>
    </xf>
    <xf numFmtId="44" fontId="5" fillId="6" borderId="1" xfId="1" applyFont="1" applyFill="1" applyBorder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164" fontId="34" fillId="2" borderId="0" xfId="0" applyNumberFormat="1" applyFont="1" applyFill="1" applyAlignment="1">
      <alignment horizontal="center" vertical="top"/>
    </xf>
    <xf numFmtId="164" fontId="5" fillId="2" borderId="0" xfId="0" applyNumberFormat="1" applyFont="1" applyFill="1" applyAlignment="1">
      <alignment horizontal="right" vertical="center"/>
    </xf>
    <xf numFmtId="0" fontId="18" fillId="4" borderId="8" xfId="0" applyFont="1" applyFill="1" applyBorder="1" applyAlignment="1">
      <alignment horizontal="left"/>
    </xf>
    <xf numFmtId="0" fontId="18" fillId="4" borderId="9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66" fontId="32" fillId="7" borderId="0" xfId="0" applyNumberFormat="1" applyFont="1" applyFill="1" applyAlignment="1">
      <alignment horizontal="center" vertical="center"/>
    </xf>
    <xf numFmtId="0" fontId="32" fillId="0" borderId="0" xfId="0" applyFont="1"/>
    <xf numFmtId="0" fontId="17" fillId="3" borderId="1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7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166" fontId="32" fillId="7" borderId="5" xfId="0" applyNumberFormat="1" applyFont="1" applyFill="1" applyBorder="1" applyAlignment="1">
      <alignment horizontal="center" vertical="center"/>
    </xf>
    <xf numFmtId="0" fontId="32" fillId="7" borderId="4" xfId="0" applyFont="1" applyFill="1" applyBorder="1"/>
    <xf numFmtId="0" fontId="17" fillId="4" borderId="4" xfId="0" applyFont="1" applyFill="1" applyBorder="1" applyAlignment="1">
      <alignment horizontal="left"/>
    </xf>
    <xf numFmtId="0" fontId="17" fillId="4" borderId="7" xfId="0" applyFont="1" applyFill="1" applyBorder="1" applyAlignment="1">
      <alignment horizontal="left"/>
    </xf>
    <xf numFmtId="0" fontId="17" fillId="4" borderId="2" xfId="0" applyFont="1" applyFill="1" applyBorder="1" applyAlignment="1">
      <alignment horizontal="left"/>
    </xf>
    <xf numFmtId="166" fontId="16" fillId="2" borderId="6" xfId="0" applyNumberFormat="1" applyFont="1" applyFill="1" applyBorder="1" applyAlignment="1">
      <alignment horizontal="center" vertical="center"/>
    </xf>
    <xf numFmtId="166" fontId="16" fillId="2" borderId="5" xfId="0" applyNumberFormat="1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left"/>
    </xf>
    <xf numFmtId="0" fontId="17" fillId="8" borderId="7" xfId="0" applyFont="1" applyFill="1" applyBorder="1" applyAlignment="1">
      <alignment horizontal="left"/>
    </xf>
    <xf numFmtId="0" fontId="17" fillId="8" borderId="2" xfId="0" applyFont="1" applyFill="1" applyBorder="1" applyAlignment="1">
      <alignment horizontal="left"/>
    </xf>
    <xf numFmtId="0" fontId="18" fillId="8" borderId="4" xfId="0" applyFont="1" applyFill="1" applyBorder="1" applyAlignment="1">
      <alignment horizontal="left"/>
    </xf>
    <xf numFmtId="0" fontId="18" fillId="8" borderId="7" xfId="0" applyFont="1" applyFill="1" applyBorder="1" applyAlignment="1">
      <alignment horizontal="left"/>
    </xf>
    <xf numFmtId="0" fontId="19" fillId="8" borderId="1" xfId="0" applyFont="1" applyFill="1" applyBorder="1" applyAlignment="1">
      <alignment horizontal="center" vertical="center"/>
    </xf>
    <xf numFmtId="165" fontId="41" fillId="7" borderId="0" xfId="0" applyNumberFormat="1" applyFont="1" applyFill="1" applyAlignment="1">
      <alignment horizontal="center" vertical="center"/>
    </xf>
    <xf numFmtId="0" fontId="43" fillId="13" borderId="0" xfId="0" applyFont="1" applyFill="1" applyAlignment="1">
      <alignment horizontal="left"/>
    </xf>
    <xf numFmtId="0" fontId="42" fillId="13" borderId="0" xfId="0" applyFont="1" applyFill="1" applyAlignment="1">
      <alignment horizontal="left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6" formatCode="_(&quot;R$&quot;* #,##0.00_);_(&quot;R$&quot;* \(#,##0.00\);_(&quot;R$&quot;* &quot;-&quot;??_);_(@_)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6" formatCode="_(&quot;R$&quot;* #,##0.00_);_(&quot;R$&quot;* \(#,##0.00\);_(&quot;R$&quot;* &quot;-&quot;??_);_(@_)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6" formatCode="_(&quot;R$&quot;* #,##0.00_);_(&quot;R$&quot;* \(#,##0.00\);_(&quot;R$&quot;* &quot;-&quot;??_);_(@_)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6" formatCode="_(&quot;R$&quot;* #,##0.00_);_(&quot;R$&quot;* \(#,##0.00\);_(&quot;R$&quot;* &quot;-&quot;??_);_(@_)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6" formatCode="_(&quot;R$&quot;* #,##0.00_);_(&quot;R$&quot;* \(#,##0.00\);_(&quot;R$&quot;* &quot;-&quot;??_);_(@_)"/>
      <fill>
        <patternFill patternType="solid">
          <fgColor indexed="64"/>
          <bgColor theme="4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9389629810485"/>
        </patternFill>
      </fill>
    </dxf>
    <dxf>
      <fill>
        <patternFill patternType="solid">
          <bgColor theme="5"/>
        </patternFill>
      </fill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auto="1"/>
      </font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rgb="FFFFFF0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fill>
        <patternFill patternType="solid">
          <bgColor rgb="FFFFFF0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m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7781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numFmt numFmtId="167" formatCode="[$-416]mmmm\-yy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m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m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m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mmmm\-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&quot;R$&quot;* #,##0.00_);_(&quot;R$&quot;* \(#,##0.00\);_(&quot;R$&quot;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ndalu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000&quot;.25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4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Light"/>
        <scheme val="maj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B0F0"/>
      </font>
    </dxf>
    <dxf>
      <font>
        <b/>
        <i val="0"/>
        <color rgb="FF92D050"/>
      </font>
    </dxf>
    <dxf>
      <font>
        <b/>
        <i val="0"/>
        <color rgb="FFFFC000"/>
      </font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2D050"/>
      <color rgb="FFF77819"/>
      <color rgb="FF00B0F0"/>
      <color rgb="FFBD92DE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openxmlformats.org/officeDocument/2006/relationships/customXml" Target="../customXml/item7.xml"/><Relationship Id="rId21" Type="http://schemas.openxmlformats.org/officeDocument/2006/relationships/externalLink" Target="externalLinks/externalLink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tyles" Target="styles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4" Type="http://schemas.openxmlformats.org/officeDocument/2006/relationships/customXml" Target="../customXml/item1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-2.7777777777778525E-3"/>
              <c:y val="-0.19907407407407407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layout>
            <c:manualLayout>
              <c:x val="-2.7777777777778525E-3"/>
              <c:y val="-0.19907407407407407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0"/>
              <c:y val="-0.26016260162601634"/>
            </c:manualLayout>
          </c:layout>
          <c:spPr/>
          <c:txPr>
            <a:bodyPr/>
            <a:lstStyle/>
            <a:p>
              <a:pPr>
                <a:defRPr sz="1200" b="1">
                  <a:solidFill>
                    <a:schemeClr val="bg1"/>
                  </a:solidFill>
                  <a:latin typeface="+mj-lt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"/>
              <c:y val="-0.26016260162601634"/>
            </c:manualLayout>
          </c:layout>
          <c:spPr/>
          <c:txPr>
            <a:bodyPr/>
            <a:lstStyle/>
            <a:p>
              <a:pPr>
                <a:defRPr sz="1200" b="1">
                  <a:solidFill>
                    <a:schemeClr val="bg1"/>
                  </a:solidFill>
                  <a:latin typeface="+mj-lt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948410137257441"/>
          <c:y val="5.2396824630051055E-3"/>
          <c:w val="0.57906501441419489"/>
          <c:h val="0.86682124857092913"/>
        </c:manualLayout>
      </c:layout>
      <c:doughnutChart>
        <c:varyColors val="1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explosion val="25"/>
          <c:dLbls>
            <c:dLbl>
              <c:idx val="0"/>
              <c:layout>
                <c:manualLayout>
                  <c:x val="-5.4562861748658289E-17"/>
                  <c:y val="-0.28067514637593383"/>
                </c:manualLayout>
              </c:layout>
              <c:tx>
                <c:strRef>
                  <c:f>Menu!$AI$2</c:f>
                  <c:strCache>
                    <c:ptCount val="1"/>
                    <c:pt idx="0">
                      <c:v>31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  <a:latin typeface="+mj-lt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{4F43A6C0-484B-4ED0-B3BF-D0B5268BFD8F}</c15:txfldGUID>
                      <c15:f>Menu!$AI$2</c15:f>
                      <c15:dlblFieldTableCache>
                        <c:ptCount val="1"/>
                        <c:pt idx="0">
                          <c:v>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D70A-451D-ABD3-A2FFFB221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96</c:v>
              </c:pt>
            </c:numLit>
          </c:val>
          <c:extLst>
            <c:ext xmlns:c16="http://schemas.microsoft.com/office/drawing/2014/chart" uri="{C3380CC4-5D6E-409C-BE32-E72D297353CC}">
              <c16:uniqueId val="{00000001-D70A-451D-ABD3-A2FFFB221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397" footer="0.3149606200000039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2026.xlsm]Responsabildade 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Responsábilidade pelos Custos</a:t>
            </a:r>
          </a:p>
        </c:rich>
      </c:tx>
      <c:layout>
        <c:manualLayout>
          <c:xMode val="edge"/>
          <c:yMode val="edge"/>
          <c:x val="0.29321335978835983"/>
          <c:y val="4.09848484848484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F77819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77819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7819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82572810928757"/>
          <c:y val="0.75995101010100996"/>
          <c:w val="0.16040223887676688"/>
          <c:h val="0.24004898989898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2026.xlsm]Defeitos!Tabela dinâmica7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Defeitos com maiores recorrências</a:t>
            </a:r>
          </a:p>
        </c:rich>
      </c:tx>
      <c:layout>
        <c:manualLayout>
          <c:xMode val="edge"/>
          <c:yMode val="edge"/>
          <c:x val="0.27475132275132275"/>
          <c:y val="2.8156565656565657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Defeitos!$B$3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A80B-42DF-A230-AE2F0986B9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A80B-42DF-A230-AE2F0986B9D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A80B-42DF-A230-AE2F0986B9D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A80B-42DF-A230-AE2F0986B9D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A80B-42DF-A230-AE2F0986B9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Defeitos!$A$4:$A$5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Defeitos!$B$4:$B$5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A80B-42DF-A230-AE2F0986B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7258410880458"/>
          <c:y val="0.71369065656565656"/>
          <c:w val="0.18212255699442528"/>
          <c:h val="0.28558080808080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2026.xlsm]Planilha3!Tabela dinâmica4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Serviços</a:t>
            </a:r>
            <a:r>
              <a:rPr lang="pt-BR" baseline="0"/>
              <a:t> Realizados</a:t>
            </a:r>
            <a:endParaRPr lang="pt-BR"/>
          </a:p>
        </c:rich>
      </c:tx>
      <c:layout>
        <c:manualLayout>
          <c:xMode val="edge"/>
          <c:yMode val="edge"/>
          <c:x val="0.36990670059372349"/>
          <c:y val="3.1764608395063752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E61-4683-9FB6-BA0FB5E61AE5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E61-4683-9FB6-BA0FB5E61AE5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5E61-4683-9FB6-BA0FB5E61AE5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5E61-4683-9FB6-BA0FB5E61AE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5E61-4683-9FB6-BA0FB5E61A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Planilha3!$A$4:$A$5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Planilha3!$B$4:$B$5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5E61-4683-9FB6-BA0FB5E61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31982811540823"/>
          <c:y val="0.71299985780094788"/>
          <c:w val="0.33149171270718231"/>
          <c:h val="0.257100745470857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rgbClr val="00B0F0"/>
                </a:solidFill>
              </a:rPr>
              <a:t>Repasse de Custos com Responsabilidade Uniportas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Uniportas!$B$273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Uniportas!$A$274:$A$281</c:f>
              <c:strCache>
                <c:ptCount val="8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</c:strCache>
            </c:strRef>
          </c:cat>
          <c:val>
            <c:numRef>
              <c:f>Uniportas!$B$274:$B$281</c:f>
              <c:numCache>
                <c:formatCode>"R$"\ 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0-4611-8438-A87AABE97A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64928"/>
        <c:axId val="131623168"/>
      </c:barChart>
      <c:catAx>
        <c:axId val="1367649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23168"/>
        <c:crosses val="autoZero"/>
        <c:auto val="1"/>
        <c:lblAlgn val="ctr"/>
        <c:lblOffset val="100"/>
        <c:noMultiLvlLbl val="0"/>
      </c:catAx>
      <c:valAx>
        <c:axId val="1316231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367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2026.xlsm]Responsabildade !Tabela dinâmica4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Responsábilidade pelos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2026.xlsm]Serviços!Tabela dinâmica5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Serviços</a:t>
            </a:r>
            <a:r>
              <a:rPr lang="en-US" baseline="0"/>
              <a:t> Realiados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BD92DE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007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Serviços!$B$3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330-421E-B52E-D77827314C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6330-421E-B52E-D77827314C4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330-421E-B52E-D77827314C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5-6330-421E-B52E-D77827314C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Serviços!$A$4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Serviços!$B$4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330-421E-B52E-D77827314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2026.xlsm]Defeitos!Tabela dinâmica7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Defeitos com maiores recorrências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</c:pivotFmt>
    </c:pivotFmts>
    <c:plotArea>
      <c:layout/>
      <c:pieChart>
        <c:varyColors val="1"/>
        <c:ser>
          <c:idx val="0"/>
          <c:order val="0"/>
          <c:tx>
            <c:strRef>
              <c:f>Defeitos!$B$3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21E0-4D97-A110-E759AF5E4C5B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DFB0-4B2A-8754-8682A94E104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1E0-4D97-A110-E759AF5E4C5B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DFB0-4B2A-8754-8682A94E104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1E0-4D97-A110-E759AF5E4C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Defeitos!$A$4:$A$5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Defeitos!$B$4:$B$5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1E0-4D97-A110-E759AF5E4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072592592592607"/>
          <c:y val="0.50523106060606049"/>
          <c:w val="0.15567619047619163"/>
          <c:h val="0.375378787878791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2026.xlsm]Locais!Tabela dinâmica8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Locais com maior numero de atendimentos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BD92DE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6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</c:pivotFmt>
      <c:pivotFmt>
        <c:idx val="2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Locais!$B$3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2-EEB6-4C88-A61E-11F32033AF6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0C8-455A-A166-4ED1887C021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EB6-4C88-A61E-11F32033AF6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80C8-455A-A166-4ED1887C021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80C8-455A-A166-4ED1887C021F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80C8-455A-A166-4ED1887C021F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08-4261-9509-7A978CC540EC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08-4261-9509-7A978CC540EC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08-4261-9509-7A978CC540EC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08-4261-9509-7A978CC540EC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08-4261-9509-7A978CC540EC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08-4261-9509-7A978CC540EC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C-6008-4261-9509-7A978CC540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Locais!$A$4:$A$5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Locais!$B$4:$B$5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EB6-4C88-A61E-11F32033A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2026.xlsm]Clientes!Tabela dinâmica9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Clientes com</a:t>
            </a:r>
            <a:r>
              <a:rPr lang="en-US" baseline="0"/>
              <a:t> maior numero de solicitações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</c:pivotFmt>
    </c:pivotFmts>
    <c:plotArea>
      <c:layout/>
      <c:pieChart>
        <c:varyColors val="1"/>
        <c:ser>
          <c:idx val="0"/>
          <c:order val="0"/>
          <c:tx>
            <c:strRef>
              <c:f>Clientes!$B$3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BEFE-4585-A7DA-21A62B585FA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55C-4B00-A6D0-93F9FB7BB91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BEFE-4585-A7DA-21A62B585FA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6-03E2-4B7F-9F48-C6C79842328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BEFE-4585-A7DA-21A62B585FAE}"/>
              </c:ext>
            </c:extLst>
          </c:dPt>
          <c:cat>
            <c:strRef>
              <c:f>Clientes!$A$4:$A$5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Clientes!$B$4:$B$5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EFE-4585-A7DA-21A62B585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2026.xlsm]Serviços!Tabela dinâmica5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Serviços</a:t>
            </a:r>
            <a:r>
              <a:rPr lang="en-US" baseline="0"/>
              <a:t> Realiados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BD92DE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0070C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</c:pivotFmt>
    </c:pivotFmts>
    <c:plotArea>
      <c:layout/>
      <c:pieChart>
        <c:varyColors val="1"/>
        <c:ser>
          <c:idx val="0"/>
          <c:order val="0"/>
          <c:tx>
            <c:strRef>
              <c:f>Serviços!$B$3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AA-464A-B031-C2B524C01E6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7AA-464A-B031-C2B524C01E6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87AA-464A-B031-C2B524C01E6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87AA-464A-B031-C2B524C01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Serviços!$A$4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Serviços!$B$4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7AA-464A-B031-C2B524C0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163" footer="0.3149606200000016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2026.xlsm]Planilha3!Tabela dinâmica4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0690-4A8D-B2D6-1067E98316F3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0690-4A8D-B2D6-1067E98316F3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0690-4A8D-B2D6-1067E98316F3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0690-4A8D-B2D6-1067E98316F3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0690-4A8D-B2D6-1067E98316F3}"/>
              </c:ext>
            </c:extLst>
          </c:dPt>
          <c:cat>
            <c:strRef>
              <c:f>Planilha3!$A$4:$A$5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Planilha3!$B$4:$B$5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581-41E3-B39C-134A54726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[Despesas Assistência Técnica 2026.xlsm]Planilha3!Tabela dinâmica4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6DF5-454F-AB96-E875158652E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6DF5-454F-AB96-E875158652E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6DF5-454F-AB96-E875158652E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6DF5-454F-AB96-E875158652E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6DF5-454F-AB96-E875158652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Planilha3!$A$4:$A$5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Planilha3!$B$4:$B$5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DF5-454F-AB96-E8751586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rgbClr val="92D050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rgbClr val="92D050"/>
                </a:solidFill>
              </a:rPr>
              <a:t>Repasse de Custos com Responsabilidade Uniportas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rgbClr val="92D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Fornecedores!$B$143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rgbClr val="92D050"/>
              </a:solidFill>
              <a:miter lim="800000"/>
            </a:ln>
            <a:effectLst>
              <a:glow rad="63500">
                <a:srgbClr val="70AD47">
                  <a:satMod val="175000"/>
                  <a:alpha val="40000"/>
                </a:srgb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Fornecedores!$A$144:$A$153</c:f>
              <c:strCache>
                <c:ptCount val="10"/>
                <c:pt idx="0">
                  <c:v>ARLIZ</c:v>
                </c:pt>
                <c:pt idx="1">
                  <c:v>IMPEL</c:v>
                </c:pt>
                <c:pt idx="2">
                  <c:v>RODEIO</c:v>
                </c:pt>
                <c:pt idx="3">
                  <c:v>MGM</c:v>
                </c:pt>
                <c:pt idx="4">
                  <c:v>NAVAS</c:v>
                </c:pt>
                <c:pt idx="5">
                  <c:v>POLTRONIERI</c:v>
                </c:pt>
                <c:pt idx="6">
                  <c:v>PRESOTTO</c:v>
                </c:pt>
                <c:pt idx="7">
                  <c:v>RIVA</c:v>
                </c:pt>
                <c:pt idx="8">
                  <c:v>SANCHES</c:v>
                </c:pt>
                <c:pt idx="9">
                  <c:v>ALAMO</c:v>
                </c:pt>
              </c:strCache>
            </c:strRef>
          </c:cat>
          <c:val>
            <c:numRef>
              <c:f>Fornecedores!$B$144:$B$153</c:f>
              <c:numCache>
                <c:formatCode>"R$"\ #,##0.00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D-44AB-A318-0CDD50B926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9210240"/>
        <c:axId val="139153344"/>
      </c:barChart>
      <c:catAx>
        <c:axId val="1392102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153344"/>
        <c:crosses val="autoZero"/>
        <c:auto val="1"/>
        <c:lblAlgn val="ctr"/>
        <c:lblOffset val="100"/>
        <c:noMultiLvlLbl val="0"/>
      </c:catAx>
      <c:valAx>
        <c:axId val="1391533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392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rgbClr val="92D050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rgbClr val="92D050"/>
                </a:solidFill>
              </a:rPr>
              <a:t>Repasse de Custos com Responsabilidade Fornecedor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rgbClr val="92D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Fornecedores!$B$143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rgbClr val="92D050"/>
              </a:solidFill>
              <a:miter lim="800000"/>
            </a:ln>
            <a:effectLst>
              <a:glow rad="63500">
                <a:srgbClr val="70AD47">
                  <a:satMod val="175000"/>
                  <a:alpha val="40000"/>
                </a:srgb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Fornecedores!$A$144:$A$153</c:f>
              <c:strCache>
                <c:ptCount val="10"/>
                <c:pt idx="0">
                  <c:v>ARLIZ</c:v>
                </c:pt>
                <c:pt idx="1">
                  <c:v>IMPEL</c:v>
                </c:pt>
                <c:pt idx="2">
                  <c:v>RODEIO</c:v>
                </c:pt>
                <c:pt idx="3">
                  <c:v>MGM</c:v>
                </c:pt>
                <c:pt idx="4">
                  <c:v>NAVAS</c:v>
                </c:pt>
                <c:pt idx="5">
                  <c:v>POLTRONIERI</c:v>
                </c:pt>
                <c:pt idx="6">
                  <c:v>PRESOTTO</c:v>
                </c:pt>
                <c:pt idx="7">
                  <c:v>RIVA</c:v>
                </c:pt>
                <c:pt idx="8">
                  <c:v>SANCHES</c:v>
                </c:pt>
                <c:pt idx="9">
                  <c:v>ALAMO</c:v>
                </c:pt>
              </c:strCache>
            </c:strRef>
          </c:cat>
          <c:val>
            <c:numRef>
              <c:f>Fornecedores!$B$144:$B$153</c:f>
              <c:numCache>
                <c:formatCode>"R$"\ #,##0.00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1-4F5E-B765-45B3FE7FCE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9249664"/>
        <c:axId val="139155072"/>
      </c:barChart>
      <c:catAx>
        <c:axId val="1392496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155072"/>
        <c:crosses val="autoZero"/>
        <c:auto val="1"/>
        <c:lblAlgn val="ctr"/>
        <c:lblOffset val="100"/>
        <c:noMultiLvlLbl val="0"/>
      </c:catAx>
      <c:valAx>
        <c:axId val="1391550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3924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Uniportas!$A$142:$A$168</c:f>
              <c:strCache>
                <c:ptCount val="27"/>
                <c:pt idx="0">
                  <c:v>ARLIZ</c:v>
                </c:pt>
                <c:pt idx="1">
                  <c:v>CAMOMIL </c:v>
                </c:pt>
                <c:pt idx="2">
                  <c:v>COMPANY</c:v>
                </c:pt>
                <c:pt idx="3">
                  <c:v>DALCOMADE</c:v>
                </c:pt>
                <c:pt idx="4">
                  <c:v>EUCATEX</c:v>
                </c:pt>
                <c:pt idx="5">
                  <c:v>GN-MADEIRAS</c:v>
                </c:pt>
                <c:pt idx="6">
                  <c:v>IDEAL</c:v>
                </c:pt>
                <c:pt idx="7">
                  <c:v>IRMÃS NAVAS</c:v>
                </c:pt>
                <c:pt idx="8">
                  <c:v>IMPEL</c:v>
                </c:pt>
                <c:pt idx="9">
                  <c:v>RODEIO</c:v>
                </c:pt>
                <c:pt idx="10">
                  <c:v>SUL PORTAS</c:v>
                </c:pt>
                <c:pt idx="11">
                  <c:v>MAD CASTOR</c:v>
                </c:pt>
                <c:pt idx="12">
                  <c:v>WILLIAM SHULL</c:v>
                </c:pt>
                <c:pt idx="13">
                  <c:v>MGM</c:v>
                </c:pt>
                <c:pt idx="14">
                  <c:v>NAVAS</c:v>
                </c:pt>
                <c:pt idx="15">
                  <c:v>OJ CHUANTS </c:v>
                </c:pt>
                <c:pt idx="16">
                  <c:v>PIANCE</c:v>
                </c:pt>
                <c:pt idx="17">
                  <c:v>POLTRONIERI</c:v>
                </c:pt>
                <c:pt idx="18">
                  <c:v>PORTO UNIÃO </c:v>
                </c:pt>
                <c:pt idx="19">
                  <c:v>PRESOTTO</c:v>
                </c:pt>
                <c:pt idx="20">
                  <c:v>RIVA</c:v>
                </c:pt>
                <c:pt idx="21">
                  <c:v>SANCHES</c:v>
                </c:pt>
                <c:pt idx="22">
                  <c:v>STAM</c:v>
                </c:pt>
                <c:pt idx="23">
                  <c:v>JJ BATENTES</c:v>
                </c:pt>
                <c:pt idx="24">
                  <c:v>ALAMO</c:v>
                </c:pt>
                <c:pt idx="25">
                  <c:v>ALUMINIO 2A</c:v>
                </c:pt>
                <c:pt idx="26">
                  <c:v>UNIPORTAS</c:v>
                </c:pt>
              </c:strCache>
            </c:strRef>
          </c:cat>
          <c:val>
            <c:numRef>
              <c:f>Uniportas!$B$142:$B$168</c:f>
              <c:numCache>
                <c:formatCode>"R$"\ #,##0.00</c:formatCode>
                <c:ptCount val="27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250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120</c:v>
                </c:pt>
                <c:pt idx="19">
                  <c:v>225</c:v>
                </c:pt>
                <c:pt idx="20">
                  <c:v>0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C3-490D-A4C5-F72FFE401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73312"/>
        <c:axId val="131614400"/>
      </c:barChart>
      <c:catAx>
        <c:axId val="14017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14400"/>
        <c:crosses val="autoZero"/>
        <c:auto val="1"/>
        <c:lblAlgn val="ctr"/>
        <c:lblOffset val="100"/>
        <c:noMultiLvlLbl val="0"/>
      </c:catAx>
      <c:valAx>
        <c:axId val="1316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7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Uniportas!$A$241:$A$267</c:f>
              <c:strCache>
                <c:ptCount val="27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  <c:pt idx="8">
                  <c:v> </c:v>
                </c:pt>
                <c:pt idx="9">
                  <c:v> </c:v>
                </c:pt>
                <c:pt idx="10">
                  <c:v> </c:v>
                </c:pt>
                <c:pt idx="11">
                  <c:v> </c:v>
                </c:pt>
                <c:pt idx="12">
                  <c:v> </c:v>
                </c:pt>
                <c:pt idx="13">
                  <c:v> </c:v>
                </c:pt>
                <c:pt idx="14">
                  <c:v> </c:v>
                </c:pt>
                <c:pt idx="15">
                  <c:v> </c:v>
                </c:pt>
                <c:pt idx="16">
                  <c:v> </c:v>
                </c:pt>
                <c:pt idx="17">
                  <c:v> </c:v>
                </c:pt>
                <c:pt idx="18">
                  <c:v> </c:v>
                </c:pt>
                <c:pt idx="19">
                  <c:v> </c:v>
                </c:pt>
                <c:pt idx="20">
                  <c:v> </c:v>
                </c:pt>
                <c:pt idx="21">
                  <c:v> </c:v>
                </c:pt>
                <c:pt idx="22">
                  <c:v> </c:v>
                </c:pt>
                <c:pt idx="23">
                  <c:v> </c:v>
                </c:pt>
                <c:pt idx="24">
                  <c:v> </c:v>
                </c:pt>
                <c:pt idx="25">
                  <c:v> </c:v>
                </c:pt>
                <c:pt idx="26">
                  <c:v> </c:v>
                </c:pt>
              </c:strCache>
            </c:strRef>
          </c:cat>
          <c:val>
            <c:numRef>
              <c:f>Uniportas!$C$241:$C$267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5-4F7D-A68E-A4AA8E8E4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74848"/>
        <c:axId val="131616128"/>
      </c:barChart>
      <c:catAx>
        <c:axId val="14017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16128"/>
        <c:crosses val="autoZero"/>
        <c:auto val="1"/>
        <c:lblAlgn val="ctr"/>
        <c:lblOffset val="100"/>
        <c:noMultiLvlLbl val="0"/>
      </c:catAx>
      <c:valAx>
        <c:axId val="1316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7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Uniportas!$B$273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Uniportas!$A$274:$A$281</c:f>
              <c:strCache>
                <c:ptCount val="8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</c:strCache>
            </c:strRef>
          </c:cat>
          <c:val>
            <c:numRef>
              <c:f>Uniportas!$B$274:$B$281</c:f>
              <c:numCache>
                <c:formatCode>"R$"\ 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1-4411-8F55-D7BB4D6E83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40175872"/>
        <c:axId val="131617856"/>
      </c:barChart>
      <c:catAx>
        <c:axId val="1401758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17856"/>
        <c:crosses val="autoZero"/>
        <c:auto val="1"/>
        <c:lblAlgn val="ctr"/>
        <c:lblOffset val="100"/>
        <c:noMultiLvlLbl val="0"/>
      </c:catAx>
      <c:valAx>
        <c:axId val="1316178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75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rgbClr val="00B0F0"/>
                </a:solidFill>
              </a:rPr>
              <a:t>Repasse de Custos com Responsabilidade Uniportas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Uniportas!$B$273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Uniportas!$A$274:$A$281</c:f>
              <c:strCache>
                <c:ptCount val="8"/>
                <c:pt idx="0">
                  <c:v> </c:v>
                </c:pt>
                <c:pt idx="1">
                  <c:v> </c:v>
                </c:pt>
                <c:pt idx="2">
                  <c:v> 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  <c:pt idx="6">
                  <c:v> </c:v>
                </c:pt>
                <c:pt idx="7">
                  <c:v> </c:v>
                </c:pt>
              </c:strCache>
            </c:strRef>
          </c:cat>
          <c:val>
            <c:numRef>
              <c:f>Uniportas!$B$274:$B$281</c:f>
              <c:numCache>
                <c:formatCode>"R$"\ 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A-43F3-AD51-CD9D910FFA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41406208"/>
        <c:axId val="131619584"/>
      </c:barChart>
      <c:catAx>
        <c:axId val="1414062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619584"/>
        <c:crosses val="autoZero"/>
        <c:auto val="1"/>
        <c:lblAlgn val="ctr"/>
        <c:lblOffset val="100"/>
        <c:noMultiLvlLbl val="0"/>
      </c:catAx>
      <c:valAx>
        <c:axId val="131619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414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Consumidor!$B$219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Consumidor!$A$220:$A$223</c:f>
              <c:strCache>
                <c:ptCount val="4"/>
                <c:pt idx="0">
                  <c:v>ARLIZ</c:v>
                </c:pt>
                <c:pt idx="1">
                  <c:v>MGM</c:v>
                </c:pt>
                <c:pt idx="2">
                  <c:v>POLTRONIERI</c:v>
                </c:pt>
                <c:pt idx="3">
                  <c:v>ALAMO</c:v>
                </c:pt>
              </c:strCache>
            </c:strRef>
          </c:cat>
          <c:val>
            <c:numRef>
              <c:f>Consumidor!$B$220:$B$223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46-420B-8231-4D3F2CF2C2B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40872704"/>
        <c:axId val="64588608"/>
      </c:barChart>
      <c:catAx>
        <c:axId val="1408727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88608"/>
        <c:crosses val="autoZero"/>
        <c:auto val="1"/>
        <c:lblAlgn val="ctr"/>
        <c:lblOffset val="100"/>
        <c:noMultiLvlLbl val="0"/>
      </c:catAx>
      <c:valAx>
        <c:axId val="645886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7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chemeClr val="accent2"/>
                </a:solidFill>
              </a:rPr>
              <a:t>Repasse de Custos com Responsabilidade Consumidor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Consumidor!$B$219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rgbClr val="ED7D31"/>
              </a:solidFill>
              <a:miter lim="800000"/>
            </a:ln>
            <a:effectLst>
              <a:glow rad="63500">
                <a:srgbClr val="ED7D31">
                  <a:satMod val="175000"/>
                  <a:alpha val="40000"/>
                </a:srgb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Consumidor!$A$220:$A$223</c:f>
              <c:strCache>
                <c:ptCount val="4"/>
                <c:pt idx="0">
                  <c:v>ARLIZ</c:v>
                </c:pt>
                <c:pt idx="1">
                  <c:v>MGM</c:v>
                </c:pt>
                <c:pt idx="2">
                  <c:v>POLTRONIERI</c:v>
                </c:pt>
                <c:pt idx="3">
                  <c:v>ALAMO</c:v>
                </c:pt>
              </c:strCache>
            </c:strRef>
          </c:cat>
          <c:val>
            <c:numRef>
              <c:f>Consumidor!$B$220:$B$223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06-4D96-A8ED-006C15129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40873216"/>
        <c:axId val="64589184"/>
      </c:barChart>
      <c:catAx>
        <c:axId val="140873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89184"/>
        <c:crosses val="autoZero"/>
        <c:auto val="1"/>
        <c:lblAlgn val="ctr"/>
        <c:lblOffset val="100"/>
        <c:noMultiLvlLbl val="0"/>
      </c:catAx>
      <c:valAx>
        <c:axId val="645891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408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r>
              <a:rPr lang="en-US" sz="2000" b="0">
                <a:solidFill>
                  <a:schemeClr val="accent2"/>
                </a:solidFill>
              </a:rPr>
              <a:t>Repasse de Custos com Responsabilidade Consumidor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6497964588057975E-2"/>
          <c:y val="0.13572327044025156"/>
          <c:w val="0.93475625922430539"/>
          <c:h val="0.680075471698113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Consumidor!$B$219</c:f>
              <c:strCache>
                <c:ptCount val="1"/>
                <c:pt idx="0">
                  <c:v>Valor</c:v>
                </c:pt>
              </c:strCache>
            </c:strRef>
          </c:tx>
          <c:spPr>
            <a:noFill/>
            <a:ln w="9525" cap="flat" cmpd="sng" algn="ctr">
              <a:solidFill>
                <a:srgbClr val="ED7D31"/>
              </a:solidFill>
              <a:miter lim="800000"/>
            </a:ln>
            <a:effectLst>
              <a:glow rad="63500">
                <a:srgbClr val="ED7D31">
                  <a:satMod val="175000"/>
                  <a:alpha val="40000"/>
                </a:srgbClr>
              </a:glow>
            </a:effectLst>
          </c:spPr>
          <c:invertIfNegative val="0"/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FFFF00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Consumidor!$A$220:$A$223</c:f>
              <c:strCache>
                <c:ptCount val="4"/>
                <c:pt idx="0">
                  <c:v>ARLIZ</c:v>
                </c:pt>
                <c:pt idx="1">
                  <c:v>MGM</c:v>
                </c:pt>
                <c:pt idx="2">
                  <c:v>POLTRONIERI</c:v>
                </c:pt>
                <c:pt idx="3">
                  <c:v>ALAMO</c:v>
                </c:pt>
              </c:strCache>
            </c:strRef>
          </c:cat>
          <c:val>
            <c:numRef>
              <c:f>Consumidor!$B$220:$B$223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9-4A09-9CE4-0F94936E44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40984832"/>
        <c:axId val="64590912"/>
      </c:barChart>
      <c:catAx>
        <c:axId val="1409848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590912"/>
        <c:crosses val="autoZero"/>
        <c:auto val="1"/>
        <c:lblAlgn val="ctr"/>
        <c:lblOffset val="100"/>
        <c:noMultiLvlLbl val="0"/>
      </c:catAx>
      <c:valAx>
        <c:axId val="6459091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pt-BR"/>
          </a:p>
        </c:txPr>
        <c:crossAx val="14098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5.png"/><Relationship Id="rId3" Type="http://schemas.openxmlformats.org/officeDocument/2006/relationships/hyperlink" Target="#Consumidor!A1"/><Relationship Id="rId7" Type="http://schemas.openxmlformats.org/officeDocument/2006/relationships/chart" Target="../charts/chart4.xml"/><Relationship Id="rId12" Type="http://schemas.openxmlformats.org/officeDocument/2006/relationships/image" Target="../media/image4.svg"/><Relationship Id="rId2" Type="http://schemas.openxmlformats.org/officeDocument/2006/relationships/hyperlink" Target="#Fornecedores!A1"/><Relationship Id="rId1" Type="http://schemas.openxmlformats.org/officeDocument/2006/relationships/hyperlink" Target="#Uniportas!A1"/><Relationship Id="rId6" Type="http://schemas.openxmlformats.org/officeDocument/2006/relationships/chart" Target="../charts/chart3.xml"/><Relationship Id="rId11" Type="http://schemas.openxmlformats.org/officeDocument/2006/relationships/image" Target="../media/image3.png"/><Relationship Id="rId5" Type="http://schemas.openxmlformats.org/officeDocument/2006/relationships/chart" Target="../charts/chart2.xml"/><Relationship Id="rId10" Type="http://schemas.openxmlformats.org/officeDocument/2006/relationships/image" Target="../media/image2.svg"/><Relationship Id="rId4" Type="http://schemas.openxmlformats.org/officeDocument/2006/relationships/chart" Target="../charts/chart1.xml"/><Relationship Id="rId9" Type="http://schemas.openxmlformats.org/officeDocument/2006/relationships/image" Target="../media/image1.png"/><Relationship Id="rId14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openxmlformats.org/officeDocument/2006/relationships/hyperlink" Target="#Menu!A1"/><Relationship Id="rId1" Type="http://schemas.openxmlformats.org/officeDocument/2006/relationships/image" Target="../media/image7.png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Menu!A1"/><Relationship Id="rId7" Type="http://schemas.openxmlformats.org/officeDocument/2006/relationships/image" Target="../media/image2.sv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1.png"/><Relationship Id="rId5" Type="http://schemas.openxmlformats.org/officeDocument/2006/relationships/image" Target="../media/image6.svg"/><Relationship Id="rId4" Type="http://schemas.openxmlformats.org/officeDocument/2006/relationships/image" Target="../media/image5.png"/><Relationship Id="rId9" Type="http://schemas.openxmlformats.org/officeDocument/2006/relationships/image" Target="../media/image4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7.xml"/><Relationship Id="rId7" Type="http://schemas.openxmlformats.org/officeDocument/2006/relationships/image" Target="../media/image6.svg"/><Relationship Id="rId2" Type="http://schemas.openxmlformats.org/officeDocument/2006/relationships/chart" Target="../charts/chart16.xml"/><Relationship Id="rId1" Type="http://schemas.openxmlformats.org/officeDocument/2006/relationships/hyperlink" Target="#Menu!A1"/><Relationship Id="rId6" Type="http://schemas.openxmlformats.org/officeDocument/2006/relationships/image" Target="../media/image5.png"/><Relationship Id="rId11" Type="http://schemas.openxmlformats.org/officeDocument/2006/relationships/image" Target="../media/image4.svg"/><Relationship Id="rId5" Type="http://schemas.openxmlformats.org/officeDocument/2006/relationships/chart" Target="../charts/chart19.xml"/><Relationship Id="rId10" Type="http://schemas.openxmlformats.org/officeDocument/2006/relationships/image" Target="../media/image3.png"/><Relationship Id="rId4" Type="http://schemas.openxmlformats.org/officeDocument/2006/relationships/chart" Target="../charts/chart18.xml"/><Relationship Id="rId9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chart" Target="../charts/chart22.xml"/><Relationship Id="rId7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4.svg"/><Relationship Id="rId4" Type="http://schemas.openxmlformats.org/officeDocument/2006/relationships/hyperlink" Target="#Menu!A1"/><Relationship Id="rId9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openxmlformats.org/officeDocument/2006/relationships/hyperlink" Target="#Lista_marca!A1"/><Relationship Id="rId1" Type="http://schemas.openxmlformats.org/officeDocument/2006/relationships/hyperlink" Target="#Menu!A1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7" Type="http://schemas.openxmlformats.org/officeDocument/2006/relationships/image" Target="../media/image4.svg"/><Relationship Id="rId2" Type="http://schemas.openxmlformats.org/officeDocument/2006/relationships/image" Target="../media/image5.png"/><Relationship Id="rId1" Type="http://schemas.openxmlformats.org/officeDocument/2006/relationships/hyperlink" Target="#Menu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7" Type="http://schemas.openxmlformats.org/officeDocument/2006/relationships/image" Target="../media/image4.svg"/><Relationship Id="rId2" Type="http://schemas.openxmlformats.org/officeDocument/2006/relationships/image" Target="../media/image5.png"/><Relationship Id="rId1" Type="http://schemas.openxmlformats.org/officeDocument/2006/relationships/hyperlink" Target="#DC_1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2</xdr:row>
      <xdr:rowOff>123825</xdr:rowOff>
    </xdr:from>
    <xdr:to>
      <xdr:col>12</xdr:col>
      <xdr:colOff>485775</xdr:colOff>
      <xdr:row>5</xdr:row>
      <xdr:rowOff>95250</xdr:rowOff>
    </xdr:to>
    <xdr:sp macro="[0]!ModoTelaCheia_Toggle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553F7D7F-0FAE-1A00-B127-84C32E4060C2}"/>
            </a:ext>
          </a:extLst>
        </xdr:cNvPr>
        <xdr:cNvSpPr/>
      </xdr:nvSpPr>
      <xdr:spPr>
        <a:xfrm>
          <a:off x="6334125" y="504825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7</xdr:row>
      <xdr:rowOff>95715</xdr:rowOff>
    </xdr:from>
    <xdr:to>
      <xdr:col>3</xdr:col>
      <xdr:colOff>485775</xdr:colOff>
      <xdr:row>11</xdr:row>
      <xdr:rowOff>179490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F2F1021E-1FE9-7B08-2FF8-F465A0D47D7B}"/>
            </a:ext>
          </a:extLst>
        </xdr:cNvPr>
        <xdr:cNvGrpSpPr/>
      </xdr:nvGrpSpPr>
      <xdr:grpSpPr>
        <a:xfrm>
          <a:off x="609600" y="1429215"/>
          <a:ext cx="1704975" cy="845775"/>
          <a:chOff x="609600" y="1429215"/>
          <a:chExt cx="1704975" cy="845775"/>
        </a:xfrm>
      </xdr:grpSpPr>
      <xdr:sp macro="" textlink="">
        <xdr:nvSpPr>
          <xdr:cNvPr id="16" name="Fluxograma: Processo alternativo 2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768782-E27A-479D-85EC-BD33EDC54C7C}"/>
              </a:ext>
            </a:extLst>
          </xdr:cNvPr>
          <xdr:cNvSpPr/>
        </xdr:nvSpPr>
        <xdr:spPr>
          <a:xfrm>
            <a:off x="609600" y="1429215"/>
            <a:ext cx="1704975" cy="542460"/>
          </a:xfrm>
          <a:prstGeom prst="flowChartAlternateProcess">
            <a:avLst/>
          </a:prstGeom>
          <a:ln w="38100"/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mbria"/>
                <a:ea typeface="+mn-ea"/>
                <a:cs typeface="+mn-cs"/>
              </a:rPr>
              <a:t> </a:t>
            </a:r>
            <a:r>
              <a:rPr kumimoji="0" lang="pt-BR" sz="12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"/>
                <a:ea typeface="+mn-ea"/>
                <a:cs typeface="+mn-cs"/>
              </a:rPr>
              <a:t>Uniportas</a:t>
            </a:r>
          </a:p>
        </xdr:txBody>
      </xdr:sp>
      <xdr:sp macro="" textlink="Uniportas!$G$3">
        <xdr:nvSpPr>
          <xdr:cNvPr id="20" name="Fluxograma: Processo alternativo 23">
            <a:extLst>
              <a:ext uri="{FF2B5EF4-FFF2-40B4-BE49-F238E27FC236}">
                <a16:creationId xmlns:a16="http://schemas.microsoft.com/office/drawing/2014/main" id="{0B97BB01-FF44-4FD3-A0C0-C7AD51FB72EA}"/>
              </a:ext>
            </a:extLst>
          </xdr:cNvPr>
          <xdr:cNvSpPr/>
        </xdr:nvSpPr>
        <xdr:spPr>
          <a:xfrm>
            <a:off x="1009650" y="1914990"/>
            <a:ext cx="900000" cy="360000"/>
          </a:xfrm>
          <a:prstGeom prst="flowChartAlternateProcess">
            <a:avLst/>
          </a:prstGeom>
          <a:ln w="38100"/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CA5FE6C-E9C9-458B-A7C4-32900560F8F9}" type="TxLink"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R$-   </a:t>
            </a:fld>
            <a:endPara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mbria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4</xdr:col>
      <xdr:colOff>85725</xdr:colOff>
      <xdr:row>7</xdr:row>
      <xdr:rowOff>95715</xdr:rowOff>
    </xdr:from>
    <xdr:to>
      <xdr:col>6</xdr:col>
      <xdr:colOff>571500</xdr:colOff>
      <xdr:row>11</xdr:row>
      <xdr:rowOff>177969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D5D7FD35-3C8D-D84C-086A-EC19B2C66C76}"/>
            </a:ext>
          </a:extLst>
        </xdr:cNvPr>
        <xdr:cNvGrpSpPr/>
      </xdr:nvGrpSpPr>
      <xdr:grpSpPr>
        <a:xfrm>
          <a:off x="2524125" y="1429215"/>
          <a:ext cx="1704975" cy="844254"/>
          <a:chOff x="2524125" y="1429215"/>
          <a:chExt cx="1704975" cy="844254"/>
        </a:xfrm>
      </xdr:grpSpPr>
      <xdr:sp macro="" textlink="">
        <xdr:nvSpPr>
          <xdr:cNvPr id="17" name="Fluxograma: Processo alternativo 2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30D9EA4-6764-474C-BB61-F0402E97DC1D}"/>
              </a:ext>
            </a:extLst>
          </xdr:cNvPr>
          <xdr:cNvSpPr/>
        </xdr:nvSpPr>
        <xdr:spPr>
          <a:xfrm>
            <a:off x="2524125" y="1429215"/>
            <a:ext cx="1704975" cy="542460"/>
          </a:xfrm>
          <a:prstGeom prst="flowChartAlternateProcess">
            <a:avLst/>
          </a:prstGeom>
          <a:ln w="38100"/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2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"/>
                <a:ea typeface="+mn-ea"/>
                <a:cs typeface="+mn-cs"/>
              </a:rPr>
              <a:t>Fornecedor</a:t>
            </a:r>
          </a:p>
        </xdr:txBody>
      </xdr:sp>
      <xdr:sp macro="" textlink="Fornecedores!$G$3">
        <xdr:nvSpPr>
          <xdr:cNvPr id="21" name="Fluxograma: Processo alternativo 23">
            <a:extLst>
              <a:ext uri="{FF2B5EF4-FFF2-40B4-BE49-F238E27FC236}">
                <a16:creationId xmlns:a16="http://schemas.microsoft.com/office/drawing/2014/main" id="{E610DEC6-5A8F-3D66-60F8-65C01BFD658C}"/>
              </a:ext>
            </a:extLst>
          </xdr:cNvPr>
          <xdr:cNvSpPr/>
        </xdr:nvSpPr>
        <xdr:spPr>
          <a:xfrm>
            <a:off x="2962515" y="1913469"/>
            <a:ext cx="900000" cy="360000"/>
          </a:xfrm>
          <a:prstGeom prst="flowChartAlternateProcess">
            <a:avLst/>
          </a:prstGeom>
          <a:ln w="38100"/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8834453-F97A-4899-BD5F-382ED5BA8D3D}" type="TxLink"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R$-   </a:t>
            </a:fld>
            <a:endPara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mbria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</xdr:col>
      <xdr:colOff>228600</xdr:colOff>
      <xdr:row>7</xdr:row>
      <xdr:rowOff>105240</xdr:rowOff>
    </xdr:from>
    <xdr:to>
      <xdr:col>10</xdr:col>
      <xdr:colOff>104775</xdr:colOff>
      <xdr:row>11</xdr:row>
      <xdr:rowOff>177969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CA18EF4-A0EB-3FFF-9C5B-926C43C1C13B}"/>
            </a:ext>
          </a:extLst>
        </xdr:cNvPr>
        <xdr:cNvGrpSpPr/>
      </xdr:nvGrpSpPr>
      <xdr:grpSpPr>
        <a:xfrm>
          <a:off x="4495800" y="1438740"/>
          <a:ext cx="1704975" cy="834729"/>
          <a:chOff x="4495800" y="1438740"/>
          <a:chExt cx="1704975" cy="834729"/>
        </a:xfrm>
      </xdr:grpSpPr>
      <xdr:sp macro="" textlink="">
        <xdr:nvSpPr>
          <xdr:cNvPr id="18" name="Fluxograma: Processo alternativo 2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9096131-1B68-462D-AA1B-2862AFA53A3E}"/>
              </a:ext>
            </a:extLst>
          </xdr:cNvPr>
          <xdr:cNvSpPr/>
        </xdr:nvSpPr>
        <xdr:spPr>
          <a:xfrm>
            <a:off x="4495800" y="1438740"/>
            <a:ext cx="1704975" cy="542460"/>
          </a:xfrm>
          <a:prstGeom prst="flowChartAlternateProcess">
            <a:avLst/>
          </a:prstGeom>
          <a:ln w="38100"/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2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mbria"/>
                <a:ea typeface="+mn-ea"/>
                <a:cs typeface="+mn-cs"/>
              </a:rPr>
              <a:t>Consumidor</a:t>
            </a:r>
          </a:p>
        </xdr:txBody>
      </xdr:sp>
      <xdr:sp macro="" textlink="Consumidor!G3">
        <xdr:nvSpPr>
          <xdr:cNvPr id="22" name="Fluxograma: Processo alternativo 23">
            <a:extLst>
              <a:ext uri="{FF2B5EF4-FFF2-40B4-BE49-F238E27FC236}">
                <a16:creationId xmlns:a16="http://schemas.microsoft.com/office/drawing/2014/main" id="{E043281F-41CD-8B8B-D316-FB9420322A70}"/>
              </a:ext>
            </a:extLst>
          </xdr:cNvPr>
          <xdr:cNvSpPr/>
        </xdr:nvSpPr>
        <xdr:spPr>
          <a:xfrm>
            <a:off x="4848465" y="1913469"/>
            <a:ext cx="900000" cy="360000"/>
          </a:xfrm>
          <a:prstGeom prst="flowChartAlternateProcess">
            <a:avLst/>
          </a:prstGeom>
          <a:ln w="28575"/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F693C78-3D5A-47E6-B11B-5F1878CDDC32}" type="TxLink"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R$-   </a:t>
            </a:fld>
            <a:endParaRPr kumimoji="0" lang="pt-BR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mbria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104775</xdr:colOff>
      <xdr:row>7</xdr:row>
      <xdr:rowOff>122769</xdr:rowOff>
    </xdr:from>
    <xdr:to>
      <xdr:col>16</xdr:col>
      <xdr:colOff>476250</xdr:colOff>
      <xdr:row>10</xdr:row>
      <xdr:rowOff>123825</xdr:rowOff>
    </xdr:to>
    <xdr:sp macro="" textlink="'SAT 2025'!Y2">
      <xdr:nvSpPr>
        <xdr:cNvPr id="25" name="Fluxograma: Processo alternativo 23">
          <a:extLst>
            <a:ext uri="{FF2B5EF4-FFF2-40B4-BE49-F238E27FC236}">
              <a16:creationId xmlns:a16="http://schemas.microsoft.com/office/drawing/2014/main" id="{22ECE1E9-0138-0397-5FCB-25F1645FA6FA}"/>
            </a:ext>
          </a:extLst>
        </xdr:cNvPr>
        <xdr:cNvSpPr/>
      </xdr:nvSpPr>
      <xdr:spPr>
        <a:xfrm>
          <a:off x="8639175" y="1456269"/>
          <a:ext cx="1590675" cy="572556"/>
        </a:xfrm>
        <a:prstGeom prst="flowChartAlternateProcess">
          <a:avLst/>
        </a:prstGeom>
        <a:ln w="38100">
          <a:solidFill>
            <a:schemeClr val="bg2">
              <a:lumMod val="25000"/>
            </a:schemeClr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FD67DC-FA58-43BB-8712-2FA4D3201BFA}" type="TxLink"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Calibri Light"/>
              <a:cs typeface="Calibri Light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R$ 4.350,53 </a:t>
          </a:fld>
          <a:endParaRPr kumimoji="0" lang="pt-BR" sz="16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485775</xdr:colOff>
      <xdr:row>1</xdr:row>
      <xdr:rowOff>95250</xdr:rowOff>
    </xdr:from>
    <xdr:to>
      <xdr:col>17</xdr:col>
      <xdr:colOff>180975</xdr:colOff>
      <xdr:row>8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1280A69-A3AF-4662-A7B5-6AA39F443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13</xdr:col>
      <xdr:colOff>526272</xdr:colOff>
      <xdr:row>0</xdr:row>
      <xdr:rowOff>161925</xdr:rowOff>
    </xdr:from>
    <xdr:ext cx="1854355" cy="311496"/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DA340CA5-2D23-4146-90CA-47ACFADA3329}"/>
            </a:ext>
          </a:extLst>
        </xdr:cNvPr>
        <xdr:cNvSpPr/>
      </xdr:nvSpPr>
      <xdr:spPr>
        <a:xfrm>
          <a:off x="8451072" y="161925"/>
          <a:ext cx="1854355" cy="31149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Total de </a:t>
          </a:r>
          <a:r>
            <a:rPr lang="pt-BR" sz="1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Atendimentos</a:t>
          </a:r>
          <a:endParaRPr lang="pt-BR" sz="1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7</xdr:col>
      <xdr:colOff>342900</xdr:colOff>
      <xdr:row>2</xdr:row>
      <xdr:rowOff>114765</xdr:rowOff>
    </xdr:from>
    <xdr:to>
      <xdr:col>10</xdr:col>
      <xdr:colOff>219075</xdr:colOff>
      <xdr:row>5</xdr:row>
      <xdr:rowOff>85725</xdr:rowOff>
    </xdr:to>
    <xdr:sp macro="" textlink="">
      <xdr:nvSpPr>
        <xdr:cNvPr id="30" name="Fluxograma: Processo alternativo 23">
          <a:extLst>
            <a:ext uri="{FF2B5EF4-FFF2-40B4-BE49-F238E27FC236}">
              <a16:creationId xmlns:a16="http://schemas.microsoft.com/office/drawing/2014/main" id="{8BD925DA-7AD5-4D2E-8725-E8E7D081F118}"/>
            </a:ext>
          </a:extLst>
        </xdr:cNvPr>
        <xdr:cNvSpPr/>
      </xdr:nvSpPr>
      <xdr:spPr>
        <a:xfrm>
          <a:off x="4610100" y="495765"/>
          <a:ext cx="1704975" cy="542460"/>
        </a:xfrm>
        <a:prstGeom prst="flowChartAlternateProcess">
          <a:avLst/>
        </a:prstGeom>
        <a:solidFill>
          <a:schemeClr val="accent1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2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mbria"/>
              <a:ea typeface="+mn-ea"/>
              <a:cs typeface="+mn-cs"/>
            </a:rPr>
            <a:t>SAT 2025</a:t>
          </a:r>
          <a:endParaRPr kumimoji="0" lang="pt-BR" sz="2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mbria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323850</xdr:colOff>
      <xdr:row>13</xdr:row>
      <xdr:rowOff>184149</xdr:rowOff>
    </xdr:from>
    <xdr:to>
      <xdr:col>27</xdr:col>
      <xdr:colOff>447675</xdr:colOff>
      <xdr:row>34</xdr:row>
      <xdr:rowOff>143649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F7752280-EAE6-4E4E-8D70-2440E33DA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257175</xdr:colOff>
      <xdr:row>14</xdr:row>
      <xdr:rowOff>15875</xdr:rowOff>
    </xdr:from>
    <xdr:to>
      <xdr:col>17</xdr:col>
      <xdr:colOff>533400</xdr:colOff>
      <xdr:row>34</xdr:row>
      <xdr:rowOff>165875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5D542374-8CD0-409E-BB94-3E12011DC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</xdr:row>
      <xdr:rowOff>165100</xdr:rowOff>
    </xdr:from>
    <xdr:to>
      <xdr:col>8</xdr:col>
      <xdr:colOff>295275</xdr:colOff>
      <xdr:row>34</xdr:row>
      <xdr:rowOff>74612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EE8DE3-FE4B-4AD9-8AA3-1A6D564E9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307975</xdr:colOff>
      <xdr:row>119</xdr:row>
      <xdr:rowOff>60325</xdr:rowOff>
    </xdr:from>
    <xdr:to>
      <xdr:col>27</xdr:col>
      <xdr:colOff>342106</xdr:colOff>
      <xdr:row>145</xdr:row>
      <xdr:rowOff>103981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68892D0-A5B8-4A2B-8C87-7EB1A077C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85725</xdr:colOff>
      <xdr:row>2</xdr:row>
      <xdr:rowOff>123825</xdr:rowOff>
    </xdr:from>
    <xdr:ext cx="3803734" cy="468013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586AFF3-C456-488F-9FC8-AED17B50560E}"/>
            </a:ext>
          </a:extLst>
        </xdr:cNvPr>
        <xdr:cNvSpPr/>
      </xdr:nvSpPr>
      <xdr:spPr>
        <a:xfrm>
          <a:off x="695325" y="504825"/>
          <a:ext cx="380373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Despesas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por Atendimento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10</xdr:col>
      <xdr:colOff>400050</xdr:colOff>
      <xdr:row>3</xdr:row>
      <xdr:rowOff>114300</xdr:rowOff>
    </xdr:from>
    <xdr:to>
      <xdr:col>11</xdr:col>
      <xdr:colOff>150450</xdr:colOff>
      <xdr:row>5</xdr:row>
      <xdr:rowOff>93300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AB3CB534-25ED-4334-A1A8-6B1E6B2F007B}"/>
            </a:ext>
          </a:extLst>
        </xdr:cNvPr>
        <xdr:cNvGrpSpPr/>
      </xdr:nvGrpSpPr>
      <xdr:grpSpPr>
        <a:xfrm>
          <a:off x="6496050" y="68580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24" name="Gráfico 23" descr="Monitor com preenchimento sólido">
            <a:extLst>
              <a:ext uri="{FF2B5EF4-FFF2-40B4-BE49-F238E27FC236}">
                <a16:creationId xmlns:a16="http://schemas.microsoft.com/office/drawing/2014/main" id="{8650D8B1-25B0-39DC-D765-24E1B08D3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26" name="Gráfico 25" descr="Minimizar com preenchimento sólido">
            <a:extLst>
              <a:ext uri="{FF2B5EF4-FFF2-40B4-BE49-F238E27FC236}">
                <a16:creationId xmlns:a16="http://schemas.microsoft.com/office/drawing/2014/main" id="{1F2D8DEE-A197-AA0E-3D80-8AED0DC8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200025</xdr:colOff>
      <xdr:row>3</xdr:row>
      <xdr:rowOff>123825</xdr:rowOff>
    </xdr:from>
    <xdr:to>
      <xdr:col>11</xdr:col>
      <xdr:colOff>560025</xdr:colOff>
      <xdr:row>5</xdr:row>
      <xdr:rowOff>102825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1DC0D3D6-7CB9-491D-8F35-9E80E434E4C1}"/>
            </a:ext>
          </a:extLst>
        </xdr:cNvPr>
        <xdr:cNvGrpSpPr/>
      </xdr:nvGrpSpPr>
      <xdr:grpSpPr>
        <a:xfrm>
          <a:off x="6905625" y="695325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31" name="Gráfico 30" descr="Maximizar com preenchimento sólido">
            <a:extLst>
              <a:ext uri="{FF2B5EF4-FFF2-40B4-BE49-F238E27FC236}">
                <a16:creationId xmlns:a16="http://schemas.microsoft.com/office/drawing/2014/main" id="{2BE634A8-8918-E402-C58F-77529B051D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32" name="Gráfico 31" descr="Monitor com preenchimento sólido">
            <a:extLst>
              <a:ext uri="{FF2B5EF4-FFF2-40B4-BE49-F238E27FC236}">
                <a16:creationId xmlns:a16="http://schemas.microsoft.com/office/drawing/2014/main" id="{0FD63190-51EE-FF78-8AA1-790314AF58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6</xdr:row>
      <xdr:rowOff>19050</xdr:rowOff>
    </xdr:from>
    <xdr:to>
      <xdr:col>15</xdr:col>
      <xdr:colOff>314324</xdr:colOff>
      <xdr:row>25</xdr:row>
      <xdr:rowOff>128587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026FDB-6CC1-C6F0-4C12-DB9AEDD6C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11</xdr:row>
      <xdr:rowOff>52387</xdr:rowOff>
    </xdr:from>
    <xdr:to>
      <xdr:col>16</xdr:col>
      <xdr:colOff>35250</xdr:colOff>
      <xdr:row>32</xdr:row>
      <xdr:rowOff>11887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53AF0A1-70EB-ADA6-7E37-85AD390531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11</xdr:row>
      <xdr:rowOff>52387</xdr:rowOff>
    </xdr:from>
    <xdr:to>
      <xdr:col>19</xdr:col>
      <xdr:colOff>140025</xdr:colOff>
      <xdr:row>32</xdr:row>
      <xdr:rowOff>11887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D1C69B2-1058-F198-32AF-CAF269FA36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11</xdr:row>
      <xdr:rowOff>52387</xdr:rowOff>
    </xdr:from>
    <xdr:to>
      <xdr:col>18</xdr:col>
      <xdr:colOff>16200</xdr:colOff>
      <xdr:row>32</xdr:row>
      <xdr:rowOff>11887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6FBA20E-B9ED-7E1E-CD92-3F3F55867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11</xdr:row>
      <xdr:rowOff>52387</xdr:rowOff>
    </xdr:from>
    <xdr:to>
      <xdr:col>17</xdr:col>
      <xdr:colOff>568650</xdr:colOff>
      <xdr:row>32</xdr:row>
      <xdr:rowOff>11887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C588518-8CB4-D0E9-E641-6FA5AD681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35</xdr:row>
      <xdr:rowOff>47625</xdr:rowOff>
    </xdr:from>
    <xdr:to>
      <xdr:col>15</xdr:col>
      <xdr:colOff>397200</xdr:colOff>
      <xdr:row>56</xdr:row>
      <xdr:rowOff>7125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F435BD2D-5501-4BF6-99E5-22CCBDFB6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171450</xdr:colOff>
      <xdr:row>5</xdr:row>
      <xdr:rowOff>123825</xdr:rowOff>
    </xdr:from>
    <xdr:to>
      <xdr:col>15</xdr:col>
      <xdr:colOff>342900</xdr:colOff>
      <xdr:row>26</xdr:row>
      <xdr:rowOff>33337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A2ED1EA9-FFC7-7823-1539-C794B63B8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29</xdr:col>
      <xdr:colOff>171450</xdr:colOff>
      <xdr:row>26</xdr:row>
      <xdr:rowOff>100012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350A0226-50CE-4035-A70A-DB533D53D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809625</xdr:colOff>
      <xdr:row>0</xdr:row>
      <xdr:rowOff>85725</xdr:rowOff>
    </xdr:from>
    <xdr:to>
      <xdr:col>3</xdr:col>
      <xdr:colOff>1304925</xdr:colOff>
      <xdr:row>1</xdr:row>
      <xdr:rowOff>238125</xdr:rowOff>
    </xdr:to>
    <xdr:sp macro="[0]!ModoTelaCheia_Toggle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BA4A28F0-56C7-45AD-8C8A-5A4FF25914B7}"/>
            </a:ext>
          </a:extLst>
        </xdr:cNvPr>
        <xdr:cNvSpPr/>
      </xdr:nvSpPr>
      <xdr:spPr>
        <a:xfrm>
          <a:off x="2390775" y="85725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1533525</xdr:colOff>
      <xdr:row>137</xdr:row>
      <xdr:rowOff>161924</xdr:rowOff>
    </xdr:from>
    <xdr:to>
      <xdr:col>9</xdr:col>
      <xdr:colOff>200025</xdr:colOff>
      <xdr:row>141</xdr:row>
      <xdr:rowOff>92415</xdr:rowOff>
    </xdr:to>
    <xdr:pic>
      <xdr:nvPicPr>
        <xdr:cNvPr id="2" name="Imagem 1" descr="uniPortas1-removebg-preview.png">
          <a:extLst>
            <a:ext uri="{FF2B5EF4-FFF2-40B4-BE49-F238E27FC236}">
              <a16:creationId xmlns:a16="http://schemas.microsoft.com/office/drawing/2014/main" id="{4ACFA2B0-21FE-4756-B0A0-7F2575062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486775" y="44957999"/>
          <a:ext cx="2495550" cy="959191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0</xdr:row>
      <xdr:rowOff>95250</xdr:rowOff>
    </xdr:from>
    <xdr:to>
      <xdr:col>2</xdr:col>
      <xdr:colOff>638175</xdr:colOff>
      <xdr:row>1</xdr:row>
      <xdr:rowOff>186575</xdr:rowOff>
    </xdr:to>
    <xdr:sp macro="" textlink="">
      <xdr:nvSpPr>
        <xdr:cNvPr id="11" name="Fluxograma: Processo alternativ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FCB2E0A-7E1B-48DC-8988-3F58A042FA74}"/>
            </a:ext>
          </a:extLst>
        </xdr:cNvPr>
        <xdr:cNvSpPr/>
      </xdr:nvSpPr>
      <xdr:spPr>
        <a:xfrm>
          <a:off x="704850" y="95250"/>
          <a:ext cx="1514475" cy="481850"/>
        </a:xfrm>
        <a:prstGeom prst="flowChartAlternateProcess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mbria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3</xdr:col>
      <xdr:colOff>409575</xdr:colOff>
      <xdr:row>0</xdr:row>
      <xdr:rowOff>247650</xdr:rowOff>
    </xdr:from>
    <xdr:to>
      <xdr:col>3</xdr:col>
      <xdr:colOff>769575</xdr:colOff>
      <xdr:row>1</xdr:row>
      <xdr:rowOff>217125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8B9A169-A757-40D9-A175-D2BC5D951E79}"/>
            </a:ext>
          </a:extLst>
        </xdr:cNvPr>
        <xdr:cNvGrpSpPr/>
      </xdr:nvGrpSpPr>
      <xdr:grpSpPr>
        <a:xfrm>
          <a:off x="2962275" y="247650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4" name="Gráfico 3" descr="Maximizar com preenchimento sólido">
            <a:extLst>
              <a:ext uri="{FF2B5EF4-FFF2-40B4-BE49-F238E27FC236}">
                <a16:creationId xmlns:a16="http://schemas.microsoft.com/office/drawing/2014/main" id="{1491B6CC-80BD-7A7D-F7D6-3A15B672E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5" name="Gráfico 4" descr="Monitor com preenchimento sólido">
            <a:extLst>
              <a:ext uri="{FF2B5EF4-FFF2-40B4-BE49-F238E27FC236}">
                <a16:creationId xmlns:a16="http://schemas.microsoft.com/office/drawing/2014/main" id="{AA6F497C-44D7-EF1A-2A40-BA5ABD369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962025</xdr:colOff>
      <xdr:row>0</xdr:row>
      <xdr:rowOff>247650</xdr:rowOff>
    </xdr:from>
    <xdr:to>
      <xdr:col>3</xdr:col>
      <xdr:colOff>350475</xdr:colOff>
      <xdr:row>1</xdr:row>
      <xdr:rowOff>217125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018FBF2-3CB5-49FE-A76D-20460272A972}"/>
            </a:ext>
          </a:extLst>
        </xdr:cNvPr>
        <xdr:cNvGrpSpPr/>
      </xdr:nvGrpSpPr>
      <xdr:grpSpPr>
        <a:xfrm>
          <a:off x="2543175" y="24765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7" name="Gráfico 6" descr="Monitor com preenchimento sólido">
            <a:extLst>
              <a:ext uri="{FF2B5EF4-FFF2-40B4-BE49-F238E27FC236}">
                <a16:creationId xmlns:a16="http://schemas.microsoft.com/office/drawing/2014/main" id="{E48BCE36-DFB3-4989-354E-44E523CA2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8" name="Gráfico 7" descr="Minimizar com preenchimento sólido">
            <a:extLst>
              <a:ext uri="{FF2B5EF4-FFF2-40B4-BE49-F238E27FC236}">
                <a16:creationId xmlns:a16="http://schemas.microsoft.com/office/drawing/2014/main" id="{59594711-BE21-BB4D-F46F-CEEE3325A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</xdr:row>
      <xdr:rowOff>38100</xdr:rowOff>
    </xdr:from>
    <xdr:to>
      <xdr:col>8</xdr:col>
      <xdr:colOff>581025</xdr:colOff>
      <xdr:row>4</xdr:row>
      <xdr:rowOff>9525</xdr:rowOff>
    </xdr:to>
    <xdr:sp macro="[0]!ModoTelaCheia_Toggl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65616883-E3B8-44FA-BF86-9230454137A4}"/>
            </a:ext>
          </a:extLst>
        </xdr:cNvPr>
        <xdr:cNvSpPr/>
      </xdr:nvSpPr>
      <xdr:spPr>
        <a:xfrm>
          <a:off x="7086600" y="228600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31</xdr:col>
      <xdr:colOff>0</xdr:colOff>
      <xdr:row>42</xdr:row>
      <xdr:rowOff>0</xdr:rowOff>
    </xdr:from>
    <xdr:to>
      <xdr:col>33</xdr:col>
      <xdr:colOff>466725</xdr:colOff>
      <xdr:row>45</xdr:row>
      <xdr:rowOff>114299</xdr:rowOff>
    </xdr:to>
    <xdr:sp macro="" textlink="">
      <xdr:nvSpPr>
        <xdr:cNvPr id="10" name="Fluxograma: Processo alternativo 40">
          <a:extLst>
            <a:ext uri="{FF2B5EF4-FFF2-40B4-BE49-F238E27FC236}">
              <a16:creationId xmlns:a16="http://schemas.microsoft.com/office/drawing/2014/main" id="{CF1D1A6D-16F7-4A99-80C2-480E5857F8A4}"/>
            </a:ext>
          </a:extLst>
        </xdr:cNvPr>
        <xdr:cNvSpPr/>
      </xdr:nvSpPr>
      <xdr:spPr>
        <a:xfrm>
          <a:off x="29708475" y="2276475"/>
          <a:ext cx="1685925" cy="685799"/>
        </a:xfrm>
        <a:prstGeom prst="flowChartAlternateProcess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0">
              <a:latin typeface="+mj-lt"/>
            </a:rPr>
            <a:t> </a:t>
          </a:r>
          <a:r>
            <a:rPr lang="pt-BR" sz="1800" b="1">
              <a:solidFill>
                <a:sysClr val="windowText" lastClr="000000"/>
              </a:solidFill>
              <a:latin typeface="+mj-lt"/>
            </a:rPr>
            <a:t>Fornecedor</a:t>
          </a:r>
        </a:p>
      </xdr:txBody>
    </xdr:sp>
    <xdr:clientData/>
  </xdr:twoCellAnchor>
  <xdr:twoCellAnchor>
    <xdr:from>
      <xdr:col>5</xdr:col>
      <xdr:colOff>247650</xdr:colOff>
      <xdr:row>197</xdr:row>
      <xdr:rowOff>9525</xdr:rowOff>
    </xdr:from>
    <xdr:to>
      <xdr:col>6</xdr:col>
      <xdr:colOff>838200</xdr:colOff>
      <xdr:row>205</xdr:row>
      <xdr:rowOff>57149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5BCEAF5-5FAF-46A9-9B8B-2AA5E08ED5E2}"/>
            </a:ext>
          </a:extLst>
        </xdr:cNvPr>
        <xdr:cNvGrpSpPr/>
      </xdr:nvGrpSpPr>
      <xdr:grpSpPr>
        <a:xfrm>
          <a:off x="5181600" y="41195625"/>
          <a:ext cx="1571625" cy="1571624"/>
          <a:chOff x="5505450" y="37976175"/>
          <a:chExt cx="1685925" cy="1571624"/>
        </a:xfrm>
      </xdr:grpSpPr>
      <xdr:sp macro="" textlink="">
        <xdr:nvSpPr>
          <xdr:cNvPr id="13" name="Fluxograma: Processo alternativo 47">
            <a:extLst>
              <a:ext uri="{FF2B5EF4-FFF2-40B4-BE49-F238E27FC236}">
                <a16:creationId xmlns:a16="http://schemas.microsoft.com/office/drawing/2014/main" id="{5F3EDC80-871E-9CA8-14AC-7D9FC63CB3EF}"/>
              </a:ext>
            </a:extLst>
          </xdr:cNvPr>
          <xdr:cNvSpPr/>
        </xdr:nvSpPr>
        <xdr:spPr>
          <a:xfrm>
            <a:off x="5505450" y="38862000"/>
            <a:ext cx="1685925" cy="685799"/>
          </a:xfrm>
          <a:prstGeom prst="flowChartAlternateProcess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800" b="0">
                <a:latin typeface="+mj-lt"/>
              </a:rPr>
              <a:t> </a:t>
            </a:r>
            <a:r>
              <a:rPr lang="pt-BR" sz="1800" b="1">
                <a:solidFill>
                  <a:sysClr val="windowText" lastClr="000000"/>
                </a:solidFill>
                <a:latin typeface="+mj-lt"/>
              </a:rPr>
              <a:t>Fornecedor</a:t>
            </a:r>
          </a:p>
        </xdr:txBody>
      </xdr:sp>
      <xdr:grpSp>
        <xdr:nvGrpSpPr>
          <xdr:cNvPr id="14" name="Grupo 45">
            <a:extLst>
              <a:ext uri="{FF2B5EF4-FFF2-40B4-BE49-F238E27FC236}">
                <a16:creationId xmlns:a16="http://schemas.microsoft.com/office/drawing/2014/main" id="{C3F13295-5FC0-3545-9B65-2DD8EEBE5280}"/>
              </a:ext>
            </a:extLst>
          </xdr:cNvPr>
          <xdr:cNvGrpSpPr/>
        </xdr:nvGrpSpPr>
        <xdr:grpSpPr>
          <a:xfrm>
            <a:off x="5895975" y="37976175"/>
            <a:ext cx="914400" cy="1047750"/>
            <a:chOff x="5895975" y="37976175"/>
            <a:chExt cx="914400" cy="1047750"/>
          </a:xfrm>
        </xdr:grpSpPr>
        <xdr:sp macro="" textlink="">
          <xdr:nvSpPr>
            <xdr:cNvPr id="15" name="Seta para baixo 43">
              <a:extLst>
                <a:ext uri="{FF2B5EF4-FFF2-40B4-BE49-F238E27FC236}">
                  <a16:creationId xmlns:a16="http://schemas.microsoft.com/office/drawing/2014/main" id="{5A3D5495-DD18-B2A8-3813-3DDC6AE0B8A7}"/>
                </a:ext>
              </a:extLst>
            </xdr:cNvPr>
            <xdr:cNvSpPr/>
          </xdr:nvSpPr>
          <xdr:spPr>
            <a:xfrm flipV="1">
              <a:off x="5895975" y="37976175"/>
              <a:ext cx="914400" cy="981075"/>
            </a:xfrm>
            <a:prstGeom prst="downArrow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pt-BR" sz="1100"/>
            </a:p>
          </xdr:txBody>
        </xdr:sp>
        <xdr:sp macro="" textlink="">
          <xdr:nvSpPr>
            <xdr:cNvPr id="16" name="Retângulo de cantos arredondados 44">
              <a:extLst>
                <a:ext uri="{FF2B5EF4-FFF2-40B4-BE49-F238E27FC236}">
                  <a16:creationId xmlns:a16="http://schemas.microsoft.com/office/drawing/2014/main" id="{F9B71749-A3AA-9683-B64E-BCFE6F3CE7F9}"/>
                </a:ext>
              </a:extLst>
            </xdr:cNvPr>
            <xdr:cNvSpPr/>
          </xdr:nvSpPr>
          <xdr:spPr>
            <a:xfrm>
              <a:off x="5895975" y="38661975"/>
              <a:ext cx="914400" cy="36195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pt-BR" sz="1800" b="1">
                  <a:latin typeface="+mj-lt"/>
                </a:rPr>
                <a:t>UP</a:t>
              </a:r>
            </a:p>
          </xdr:txBody>
        </xdr:sp>
      </xdr:grpSp>
    </xdr:grpSp>
    <xdr:clientData/>
  </xdr:twoCellAnchor>
  <xdr:twoCellAnchor>
    <xdr:from>
      <xdr:col>16</xdr:col>
      <xdr:colOff>28575</xdr:colOff>
      <xdr:row>109</xdr:row>
      <xdr:rowOff>123825</xdr:rowOff>
    </xdr:from>
    <xdr:to>
      <xdr:col>17</xdr:col>
      <xdr:colOff>533400</xdr:colOff>
      <xdr:row>117</xdr:row>
      <xdr:rowOff>171449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3608CAA-4283-439B-9FFB-1BF901C6B370}"/>
            </a:ext>
          </a:extLst>
        </xdr:cNvPr>
        <xdr:cNvGrpSpPr/>
      </xdr:nvGrpSpPr>
      <xdr:grpSpPr>
        <a:xfrm>
          <a:off x="16087725" y="24545925"/>
          <a:ext cx="1485900" cy="1571624"/>
          <a:chOff x="5505450" y="37976175"/>
          <a:chExt cx="1685925" cy="1571624"/>
        </a:xfrm>
      </xdr:grpSpPr>
      <xdr:sp macro="" textlink="">
        <xdr:nvSpPr>
          <xdr:cNvPr id="18" name="Fluxograma: Processo alternativo 47">
            <a:extLst>
              <a:ext uri="{FF2B5EF4-FFF2-40B4-BE49-F238E27FC236}">
                <a16:creationId xmlns:a16="http://schemas.microsoft.com/office/drawing/2014/main" id="{62C278E6-2F6C-8220-F62E-32F338D5107A}"/>
              </a:ext>
            </a:extLst>
          </xdr:cNvPr>
          <xdr:cNvSpPr/>
        </xdr:nvSpPr>
        <xdr:spPr>
          <a:xfrm>
            <a:off x="5505450" y="38862000"/>
            <a:ext cx="1685925" cy="685799"/>
          </a:xfrm>
          <a:prstGeom prst="flowChartAlternateProcess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800" b="0">
                <a:latin typeface="+mj-lt"/>
              </a:rPr>
              <a:t> </a:t>
            </a:r>
            <a:r>
              <a:rPr lang="pt-BR" sz="1800" b="1">
                <a:solidFill>
                  <a:sysClr val="windowText" lastClr="000000"/>
                </a:solidFill>
                <a:latin typeface="+mj-lt"/>
              </a:rPr>
              <a:t>Fornecedor</a:t>
            </a:r>
          </a:p>
        </xdr:txBody>
      </xdr:sp>
      <xdr:grpSp>
        <xdr:nvGrpSpPr>
          <xdr:cNvPr id="19" name="Grupo 45">
            <a:extLst>
              <a:ext uri="{FF2B5EF4-FFF2-40B4-BE49-F238E27FC236}">
                <a16:creationId xmlns:a16="http://schemas.microsoft.com/office/drawing/2014/main" id="{65126E22-C5E6-0FAA-180F-7F73523FD214}"/>
              </a:ext>
            </a:extLst>
          </xdr:cNvPr>
          <xdr:cNvGrpSpPr/>
        </xdr:nvGrpSpPr>
        <xdr:grpSpPr>
          <a:xfrm>
            <a:off x="5895975" y="37976175"/>
            <a:ext cx="914400" cy="1047750"/>
            <a:chOff x="5895975" y="37976175"/>
            <a:chExt cx="914400" cy="1047750"/>
          </a:xfrm>
        </xdr:grpSpPr>
        <xdr:sp macro="" textlink="">
          <xdr:nvSpPr>
            <xdr:cNvPr id="20" name="Seta para baixo 43">
              <a:extLst>
                <a:ext uri="{FF2B5EF4-FFF2-40B4-BE49-F238E27FC236}">
                  <a16:creationId xmlns:a16="http://schemas.microsoft.com/office/drawing/2014/main" id="{26AE0613-F088-5510-5E0A-5F11492D24C9}"/>
                </a:ext>
              </a:extLst>
            </xdr:cNvPr>
            <xdr:cNvSpPr/>
          </xdr:nvSpPr>
          <xdr:spPr>
            <a:xfrm flipV="1">
              <a:off x="5895975" y="37976175"/>
              <a:ext cx="914400" cy="981075"/>
            </a:xfrm>
            <a:prstGeom prst="downArrow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pt-BR" sz="1100"/>
            </a:p>
          </xdr:txBody>
        </xdr:sp>
        <xdr:sp macro="" textlink="">
          <xdr:nvSpPr>
            <xdr:cNvPr id="21" name="Retângulo de cantos arredondados 44">
              <a:extLst>
                <a:ext uri="{FF2B5EF4-FFF2-40B4-BE49-F238E27FC236}">
                  <a16:creationId xmlns:a16="http://schemas.microsoft.com/office/drawing/2014/main" id="{380FA809-1EBA-E8DB-EFD9-281D5AE09A9C}"/>
                </a:ext>
              </a:extLst>
            </xdr:cNvPr>
            <xdr:cNvSpPr/>
          </xdr:nvSpPr>
          <xdr:spPr>
            <a:xfrm>
              <a:off x="5895975" y="38661975"/>
              <a:ext cx="914400" cy="361950"/>
            </a:xfrm>
            <a:prstGeom prst="roundRect">
              <a:avLst/>
            </a:prstGeom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pt-BR" sz="1800" b="1">
                  <a:latin typeface="+mj-lt"/>
                </a:rPr>
                <a:t>UP</a:t>
              </a:r>
            </a:p>
          </xdr:txBody>
        </xdr:sp>
      </xdr:grpSp>
    </xdr:grpSp>
    <xdr:clientData/>
  </xdr:twoCellAnchor>
  <xdr:twoCellAnchor>
    <xdr:from>
      <xdr:col>2</xdr:col>
      <xdr:colOff>104775</xdr:colOff>
      <xdr:row>154</xdr:row>
      <xdr:rowOff>85725</xdr:rowOff>
    </xdr:from>
    <xdr:to>
      <xdr:col>18</xdr:col>
      <xdr:colOff>47625</xdr:colOff>
      <xdr:row>180</xdr:row>
      <xdr:rowOff>182960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F7F9156-42DA-4276-9243-F2A268551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4</xdr:row>
      <xdr:rowOff>114300</xdr:rowOff>
    </xdr:from>
    <xdr:to>
      <xdr:col>16</xdr:col>
      <xdr:colOff>657225</xdr:colOff>
      <xdr:row>31</xdr:row>
      <xdr:rowOff>21035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9C6C2A1-8B74-4E5D-9058-94048ABB5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0</xdr:colOff>
      <xdr:row>2</xdr:row>
      <xdr:rowOff>0</xdr:rowOff>
    </xdr:from>
    <xdr:ext cx="3803734" cy="468013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6A6FF11-9A34-4228-AEC9-43E4D7FB68CD}"/>
            </a:ext>
          </a:extLst>
        </xdr:cNvPr>
        <xdr:cNvSpPr/>
      </xdr:nvSpPr>
      <xdr:spPr>
        <a:xfrm>
          <a:off x="1990725" y="381000"/>
          <a:ext cx="380373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Despesas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por Atendimento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21</xdr:col>
      <xdr:colOff>123825</xdr:colOff>
      <xdr:row>5</xdr:row>
      <xdr:rowOff>57150</xdr:rowOff>
    </xdr:from>
    <xdr:to>
      <xdr:col>22</xdr:col>
      <xdr:colOff>397669</xdr:colOff>
      <xdr:row>7</xdr:row>
      <xdr:rowOff>64690</xdr:rowOff>
    </xdr:to>
    <xdr:sp macro="[0]!Macro3_fornecedo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BFF91E9-A962-4B6B-A16F-C283E3E501EB}"/>
            </a:ext>
          </a:extLst>
        </xdr:cNvPr>
        <xdr:cNvSpPr/>
      </xdr:nvSpPr>
      <xdr:spPr>
        <a:xfrm>
          <a:off x="21202650" y="1009650"/>
          <a:ext cx="1254919" cy="38854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ysClr val="windowText" lastClr="000000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ATUALIZAR</a:t>
          </a:r>
        </a:p>
      </xdr:txBody>
    </xdr:sp>
    <xdr:clientData/>
  </xdr:twoCellAnchor>
  <xdr:twoCellAnchor>
    <xdr:from>
      <xdr:col>0</xdr:col>
      <xdr:colOff>247650</xdr:colOff>
      <xdr:row>1</xdr:row>
      <xdr:rowOff>47625</xdr:rowOff>
    </xdr:from>
    <xdr:to>
      <xdr:col>1</xdr:col>
      <xdr:colOff>479426</xdr:colOff>
      <xdr:row>3</xdr:row>
      <xdr:rowOff>79420</xdr:rowOff>
    </xdr:to>
    <xdr:sp macro="" textlink="">
      <xdr:nvSpPr>
        <xdr:cNvPr id="8" name="Fluxograma: Processo alternativ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C02A3D-BE47-41BB-A353-B29D08B4DCF1}"/>
            </a:ext>
          </a:extLst>
        </xdr:cNvPr>
        <xdr:cNvSpPr/>
      </xdr:nvSpPr>
      <xdr:spPr>
        <a:xfrm>
          <a:off x="247650" y="238125"/>
          <a:ext cx="1241426" cy="412795"/>
        </a:xfrm>
        <a:prstGeom prst="flowChartAlternateProcess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7</xdr:col>
      <xdr:colOff>866775</xdr:colOff>
      <xdr:row>1</xdr:row>
      <xdr:rowOff>95250</xdr:rowOff>
    </xdr:from>
    <xdr:to>
      <xdr:col>8</xdr:col>
      <xdr:colOff>245700</xdr:colOff>
      <xdr:row>3</xdr:row>
      <xdr:rowOff>74250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6B4C0F2-9293-4127-A313-F0426BD0CC07}"/>
            </a:ext>
          </a:extLst>
        </xdr:cNvPr>
        <xdr:cNvGrpSpPr/>
      </xdr:nvGrpSpPr>
      <xdr:grpSpPr>
        <a:xfrm>
          <a:off x="7858125" y="285750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5" name="Gráfico 4" descr="Maximizar com preenchimento sólido">
            <a:extLst>
              <a:ext uri="{FF2B5EF4-FFF2-40B4-BE49-F238E27FC236}">
                <a16:creationId xmlns:a16="http://schemas.microsoft.com/office/drawing/2014/main" id="{7C50F79C-5835-F9CD-3651-F2BCB3E5F7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9" name="Gráfico 8" descr="Monitor com preenchimento sólido">
            <a:extLst>
              <a:ext uri="{FF2B5EF4-FFF2-40B4-BE49-F238E27FC236}">
                <a16:creationId xmlns:a16="http://schemas.microsoft.com/office/drawing/2014/main" id="{F531C025-5469-17AE-C861-032A79CD5A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447675</xdr:colOff>
      <xdr:row>1</xdr:row>
      <xdr:rowOff>95250</xdr:rowOff>
    </xdr:from>
    <xdr:to>
      <xdr:col>7</xdr:col>
      <xdr:colOff>807675</xdr:colOff>
      <xdr:row>3</xdr:row>
      <xdr:rowOff>74250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27B53A15-30A2-4219-A206-BDA5BF1C3C22}"/>
            </a:ext>
          </a:extLst>
        </xdr:cNvPr>
        <xdr:cNvGrpSpPr/>
      </xdr:nvGrpSpPr>
      <xdr:grpSpPr>
        <a:xfrm>
          <a:off x="7439025" y="28575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22" name="Gráfico 21" descr="Monitor com preenchimento sólido">
            <a:extLst>
              <a:ext uri="{FF2B5EF4-FFF2-40B4-BE49-F238E27FC236}">
                <a16:creationId xmlns:a16="http://schemas.microsoft.com/office/drawing/2014/main" id="{354121A2-60FF-AED3-5BE3-14FB2D3651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23" name="Gráfico 22" descr="Minimizar com preenchimento sólido">
            <a:extLst>
              <a:ext uri="{FF2B5EF4-FFF2-40B4-BE49-F238E27FC236}">
                <a16:creationId xmlns:a16="http://schemas.microsoft.com/office/drawing/2014/main" id="{1AC5FFE2-C747-254C-E7F1-C8369000F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19050</xdr:rowOff>
    </xdr:from>
    <xdr:to>
      <xdr:col>8</xdr:col>
      <xdr:colOff>561975</xdr:colOff>
      <xdr:row>3</xdr:row>
      <xdr:rowOff>180975</xdr:rowOff>
    </xdr:to>
    <xdr:sp macro="[0]!ModoTelaCheia_Toggl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4A34CDA-E6B6-41C2-8CE0-8ADDFAFBA9EF}"/>
            </a:ext>
          </a:extLst>
        </xdr:cNvPr>
        <xdr:cNvSpPr/>
      </xdr:nvSpPr>
      <xdr:spPr>
        <a:xfrm>
          <a:off x="7067550" y="209550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59531</xdr:colOff>
      <xdr:row>1</xdr:row>
      <xdr:rowOff>128587</xdr:rowOff>
    </xdr:from>
    <xdr:ext cx="3803734" cy="468013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0747C61-6A1F-48F3-AD61-090D96AFB051}"/>
            </a:ext>
          </a:extLst>
        </xdr:cNvPr>
        <xdr:cNvSpPr/>
      </xdr:nvSpPr>
      <xdr:spPr>
        <a:xfrm>
          <a:off x="2053828" y="317103"/>
          <a:ext cx="380373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Despesas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por Atendimento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31</xdr:col>
      <xdr:colOff>95250</xdr:colOff>
      <xdr:row>41</xdr:row>
      <xdr:rowOff>85725</xdr:rowOff>
    </xdr:from>
    <xdr:to>
      <xdr:col>33</xdr:col>
      <xdr:colOff>561975</xdr:colOff>
      <xdr:row>45</xdr:row>
      <xdr:rowOff>9524</xdr:rowOff>
    </xdr:to>
    <xdr:sp macro="" textlink="">
      <xdr:nvSpPr>
        <xdr:cNvPr id="11" name="Fluxograma: Processo alternativo 44">
          <a:extLst>
            <a:ext uri="{FF2B5EF4-FFF2-40B4-BE49-F238E27FC236}">
              <a16:creationId xmlns:a16="http://schemas.microsoft.com/office/drawing/2014/main" id="{6C5F6084-2CC6-4875-A932-E305E271A893}"/>
            </a:ext>
          </a:extLst>
        </xdr:cNvPr>
        <xdr:cNvSpPr/>
      </xdr:nvSpPr>
      <xdr:spPr>
        <a:xfrm>
          <a:off x="29803725" y="2371725"/>
          <a:ext cx="1685925" cy="685799"/>
        </a:xfrm>
        <a:prstGeom prst="flowChartAlternateProces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0">
              <a:latin typeface="+mj-lt"/>
            </a:rPr>
            <a:t> </a:t>
          </a:r>
          <a:r>
            <a:rPr lang="pt-BR" sz="1800" b="1">
              <a:solidFill>
                <a:sysClr val="windowText" lastClr="000000"/>
              </a:solidFill>
              <a:latin typeface="+mj-lt"/>
            </a:rPr>
            <a:t>Uniportas</a:t>
          </a:r>
        </a:p>
      </xdr:txBody>
    </xdr:sp>
    <xdr:clientData/>
  </xdr:twoCellAnchor>
  <xdr:twoCellAnchor>
    <xdr:from>
      <xdr:col>14</xdr:col>
      <xdr:colOff>663286</xdr:colOff>
      <xdr:row>121</xdr:row>
      <xdr:rowOff>170872</xdr:rowOff>
    </xdr:from>
    <xdr:to>
      <xdr:col>16</xdr:col>
      <xdr:colOff>85436</xdr:colOff>
      <xdr:row>130</xdr:row>
      <xdr:rowOff>85146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B9DFD2E1-6C8D-488A-872F-9E56C23A7F8B}"/>
            </a:ext>
          </a:extLst>
        </xdr:cNvPr>
        <xdr:cNvGrpSpPr/>
      </xdr:nvGrpSpPr>
      <xdr:grpSpPr>
        <a:xfrm>
          <a:off x="14779336" y="38251822"/>
          <a:ext cx="1384300" cy="1628774"/>
          <a:chOff x="5915025" y="42024300"/>
          <a:chExt cx="1685925" cy="1628774"/>
        </a:xfrm>
      </xdr:grpSpPr>
      <xdr:sp macro="" textlink="">
        <xdr:nvSpPr>
          <xdr:cNvPr id="13" name="Fluxograma: Processo alternativo 46">
            <a:extLst>
              <a:ext uri="{FF2B5EF4-FFF2-40B4-BE49-F238E27FC236}">
                <a16:creationId xmlns:a16="http://schemas.microsoft.com/office/drawing/2014/main" id="{0FE094D1-5E82-1E2D-E2F2-0F7730D3D554}"/>
              </a:ext>
            </a:extLst>
          </xdr:cNvPr>
          <xdr:cNvSpPr/>
        </xdr:nvSpPr>
        <xdr:spPr>
          <a:xfrm>
            <a:off x="5915025" y="42967275"/>
            <a:ext cx="1685925" cy="685799"/>
          </a:xfrm>
          <a:prstGeom prst="flowChartAlternateProcess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800" b="0">
                <a:latin typeface="+mj-lt"/>
              </a:rPr>
              <a:t> </a:t>
            </a:r>
            <a:r>
              <a:rPr lang="pt-BR" sz="1800" b="1">
                <a:solidFill>
                  <a:sysClr val="windowText" lastClr="000000"/>
                </a:solidFill>
                <a:latin typeface="+mj-lt"/>
              </a:rPr>
              <a:t>Uniportas</a:t>
            </a:r>
          </a:p>
        </xdr:txBody>
      </xdr:sp>
      <xdr:grpSp>
        <xdr:nvGrpSpPr>
          <xdr:cNvPr id="14" name="Grupo 50">
            <a:extLst>
              <a:ext uri="{FF2B5EF4-FFF2-40B4-BE49-F238E27FC236}">
                <a16:creationId xmlns:a16="http://schemas.microsoft.com/office/drawing/2014/main" id="{029A2198-DD5A-D3C8-0967-34D734179CA4}"/>
              </a:ext>
            </a:extLst>
          </xdr:cNvPr>
          <xdr:cNvGrpSpPr/>
        </xdr:nvGrpSpPr>
        <xdr:grpSpPr>
          <a:xfrm>
            <a:off x="6315075" y="42024300"/>
            <a:ext cx="914400" cy="1047750"/>
            <a:chOff x="2971800" y="42700575"/>
            <a:chExt cx="914400" cy="1047750"/>
          </a:xfrm>
        </xdr:grpSpPr>
        <xdr:sp macro="" textlink="">
          <xdr:nvSpPr>
            <xdr:cNvPr id="15" name="Seta para baixo 48">
              <a:extLst>
                <a:ext uri="{FF2B5EF4-FFF2-40B4-BE49-F238E27FC236}">
                  <a16:creationId xmlns:a16="http://schemas.microsoft.com/office/drawing/2014/main" id="{8DA26215-BD55-F3B6-9A5C-201FD5140DC3}"/>
                </a:ext>
              </a:extLst>
            </xdr:cNvPr>
            <xdr:cNvSpPr/>
          </xdr:nvSpPr>
          <xdr:spPr>
            <a:xfrm flipV="1">
              <a:off x="2971800" y="42700575"/>
              <a:ext cx="914400" cy="981075"/>
            </a:xfrm>
            <a:prstGeom prst="downArrow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pt-BR" sz="1100"/>
            </a:p>
          </xdr:txBody>
        </xdr:sp>
        <xdr:sp macro="" textlink="">
          <xdr:nvSpPr>
            <xdr:cNvPr id="16" name="Retângulo de cantos arredondados 49">
              <a:extLst>
                <a:ext uri="{FF2B5EF4-FFF2-40B4-BE49-F238E27FC236}">
                  <a16:creationId xmlns:a16="http://schemas.microsoft.com/office/drawing/2014/main" id="{E387D2A8-AAF4-C9CE-6948-77013E863A4B}"/>
                </a:ext>
              </a:extLst>
            </xdr:cNvPr>
            <xdr:cNvSpPr/>
          </xdr:nvSpPr>
          <xdr:spPr>
            <a:xfrm>
              <a:off x="2971800" y="43386375"/>
              <a:ext cx="914400" cy="36195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pt-BR" sz="1800" b="1">
                  <a:latin typeface="+mj-lt"/>
                </a:rPr>
                <a:t>UP</a:t>
              </a:r>
            </a:p>
          </xdr:txBody>
        </xdr:sp>
      </xdr:grpSp>
    </xdr:grpSp>
    <xdr:clientData/>
  </xdr:twoCellAnchor>
  <xdr:twoCellAnchor>
    <xdr:from>
      <xdr:col>0</xdr:col>
      <xdr:colOff>183356</xdr:colOff>
      <xdr:row>1</xdr:row>
      <xdr:rowOff>81757</xdr:rowOff>
    </xdr:from>
    <xdr:to>
      <xdr:col>1</xdr:col>
      <xdr:colOff>415132</xdr:colOff>
      <xdr:row>3</xdr:row>
      <xdr:rowOff>113552</xdr:rowOff>
    </xdr:to>
    <xdr:sp macro="" textlink="">
      <xdr:nvSpPr>
        <xdr:cNvPr id="19" name="Fluxograma: Processo alternativ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22D2CA-9560-41AF-B00C-E89DA3EC057C}"/>
            </a:ext>
          </a:extLst>
        </xdr:cNvPr>
        <xdr:cNvSpPr/>
      </xdr:nvSpPr>
      <xdr:spPr>
        <a:xfrm>
          <a:off x="183356" y="272257"/>
          <a:ext cx="1241426" cy="412795"/>
        </a:xfrm>
        <a:prstGeom prst="flowChartAlternateProcess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3</xdr:col>
      <xdr:colOff>123825</xdr:colOff>
      <xdr:row>140</xdr:row>
      <xdr:rowOff>61912</xdr:rowOff>
    </xdr:from>
    <xdr:to>
      <xdr:col>14</xdr:col>
      <xdr:colOff>628650</xdr:colOff>
      <xdr:row>168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58A5C23-8CFC-1B19-5FBE-9C099F4B8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485775</xdr:colOff>
      <xdr:row>242</xdr:row>
      <xdr:rowOff>90486</xdr:rowOff>
    </xdr:from>
    <xdr:to>
      <xdr:col>14</xdr:col>
      <xdr:colOff>857250</xdr:colOff>
      <xdr:row>264</xdr:row>
      <xdr:rowOff>38099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EC12C-1728-230D-56EE-4A925D0508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752474</xdr:colOff>
      <xdr:row>282</xdr:row>
      <xdr:rowOff>28575</xdr:rowOff>
    </xdr:from>
    <xdr:to>
      <xdr:col>11</xdr:col>
      <xdr:colOff>962025</xdr:colOff>
      <xdr:row>304</xdr:row>
      <xdr:rowOff>104774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8DCB076-4794-E58F-F33B-82835DD29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828675</xdr:colOff>
      <xdr:row>83</xdr:row>
      <xdr:rowOff>66675</xdr:rowOff>
    </xdr:from>
    <xdr:to>
      <xdr:col>14</xdr:col>
      <xdr:colOff>952500</xdr:colOff>
      <xdr:row>85</xdr:row>
      <xdr:rowOff>76200</xdr:rowOff>
    </xdr:to>
    <xdr:sp macro="[0]!Macro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C783DA95-4612-4A66-85A7-51F5B7A8AD6E}"/>
            </a:ext>
          </a:extLst>
        </xdr:cNvPr>
        <xdr:cNvSpPr/>
      </xdr:nvSpPr>
      <xdr:spPr>
        <a:xfrm>
          <a:off x="13811250" y="10382250"/>
          <a:ext cx="1257300" cy="3905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ATUALIZAR</a:t>
          </a:r>
        </a:p>
      </xdr:txBody>
    </xdr:sp>
    <xdr:clientData/>
  </xdr:twoCellAnchor>
  <xdr:twoCellAnchor>
    <xdr:from>
      <xdr:col>20</xdr:col>
      <xdr:colOff>737395</xdr:colOff>
      <xdr:row>8</xdr:row>
      <xdr:rowOff>151211</xdr:rowOff>
    </xdr:from>
    <xdr:to>
      <xdr:col>22</xdr:col>
      <xdr:colOff>30164</xdr:colOff>
      <xdr:row>10</xdr:row>
      <xdr:rowOff>158751</xdr:rowOff>
    </xdr:to>
    <xdr:sp macro="[0]!Macro5_uniportas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3C048559-5698-4345-B7C0-C86662D28D3F}"/>
            </a:ext>
          </a:extLst>
        </xdr:cNvPr>
        <xdr:cNvSpPr/>
      </xdr:nvSpPr>
      <xdr:spPr>
        <a:xfrm>
          <a:off x="20854195" y="1675211"/>
          <a:ext cx="1254919" cy="3885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ysClr val="windowText" lastClr="000000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ATUALIZAR</a:t>
          </a:r>
        </a:p>
      </xdr:txBody>
    </xdr:sp>
    <xdr:clientData/>
  </xdr:twoCellAnchor>
  <xdr:twoCellAnchor>
    <xdr:from>
      <xdr:col>0</xdr:col>
      <xdr:colOff>734220</xdr:colOff>
      <xdr:row>4</xdr:row>
      <xdr:rowOff>99218</xdr:rowOff>
    </xdr:from>
    <xdr:to>
      <xdr:col>16</xdr:col>
      <xdr:colOff>629445</xdr:colOff>
      <xdr:row>31</xdr:row>
      <xdr:rowOff>5953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DFFB56B0-05D6-4100-BBE1-AE74238AC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561975</xdr:colOff>
      <xdr:row>2</xdr:row>
      <xdr:rowOff>0</xdr:rowOff>
    </xdr:from>
    <xdr:to>
      <xdr:col>7</xdr:col>
      <xdr:colOff>921975</xdr:colOff>
      <xdr:row>3</xdr:row>
      <xdr:rowOff>169500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253F9EE-5412-4395-B1E2-AEF682DD46B5}"/>
            </a:ext>
          </a:extLst>
        </xdr:cNvPr>
        <xdr:cNvGrpSpPr/>
      </xdr:nvGrpSpPr>
      <xdr:grpSpPr>
        <a:xfrm>
          <a:off x="7553325" y="381000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5" name="Gráfico 4" descr="Maximizar com preenchimento sólido">
            <a:extLst>
              <a:ext uri="{FF2B5EF4-FFF2-40B4-BE49-F238E27FC236}">
                <a16:creationId xmlns:a16="http://schemas.microsoft.com/office/drawing/2014/main" id="{55198CBF-4ECC-1D45-AE07-D621E212A4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7" name="Gráfico 6" descr="Monitor com preenchimento sólido">
            <a:extLst>
              <a:ext uri="{FF2B5EF4-FFF2-40B4-BE49-F238E27FC236}">
                <a16:creationId xmlns:a16="http://schemas.microsoft.com/office/drawing/2014/main" id="{E65C1EC3-53A0-6766-A692-FAA252879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142875</xdr:colOff>
      <xdr:row>2</xdr:row>
      <xdr:rowOff>0</xdr:rowOff>
    </xdr:from>
    <xdr:to>
      <xdr:col>7</xdr:col>
      <xdr:colOff>502875</xdr:colOff>
      <xdr:row>3</xdr:row>
      <xdr:rowOff>169500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CAF21364-2715-4D4B-9542-14C93FA833E0}"/>
            </a:ext>
          </a:extLst>
        </xdr:cNvPr>
        <xdr:cNvGrpSpPr/>
      </xdr:nvGrpSpPr>
      <xdr:grpSpPr>
        <a:xfrm>
          <a:off x="7134225" y="38100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9" name="Gráfico 8" descr="Monitor com preenchimento sólido">
            <a:extLst>
              <a:ext uri="{FF2B5EF4-FFF2-40B4-BE49-F238E27FC236}">
                <a16:creationId xmlns:a16="http://schemas.microsoft.com/office/drawing/2014/main" id="{6EE46914-85E9-059A-F2DB-7800EE7BED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17" name="Gráfico 16" descr="Minimizar com preenchimento sólido">
            <a:extLst>
              <a:ext uri="{FF2B5EF4-FFF2-40B4-BE49-F238E27FC236}">
                <a16:creationId xmlns:a16="http://schemas.microsoft.com/office/drawing/2014/main" id="{BB1095CA-DA05-EE25-3BCD-AD6F156B7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</xdr:row>
      <xdr:rowOff>85725</xdr:rowOff>
    </xdr:from>
    <xdr:to>
      <xdr:col>8</xdr:col>
      <xdr:colOff>628650</xdr:colOff>
      <xdr:row>4</xdr:row>
      <xdr:rowOff>57150</xdr:rowOff>
    </xdr:to>
    <xdr:sp macro="[0]!ModoTelaCheia_Toggle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01D9378-CB03-4A9E-877E-60949F118D20}"/>
            </a:ext>
          </a:extLst>
        </xdr:cNvPr>
        <xdr:cNvSpPr/>
      </xdr:nvSpPr>
      <xdr:spPr>
        <a:xfrm>
          <a:off x="7134225" y="276225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272761</xdr:colOff>
      <xdr:row>118</xdr:row>
      <xdr:rowOff>113722</xdr:rowOff>
    </xdr:from>
    <xdr:to>
      <xdr:col>9</xdr:col>
      <xdr:colOff>609311</xdr:colOff>
      <xdr:row>127</xdr:row>
      <xdr:rowOff>27996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6607DD23-CD1A-4D8E-B0C6-ED702797A533}"/>
            </a:ext>
          </a:extLst>
        </xdr:cNvPr>
        <xdr:cNvGrpSpPr/>
      </xdr:nvGrpSpPr>
      <xdr:grpSpPr>
        <a:xfrm>
          <a:off x="8245186" y="22840372"/>
          <a:ext cx="1384300" cy="1628774"/>
          <a:chOff x="5915025" y="42024300"/>
          <a:chExt cx="1685925" cy="1628774"/>
        </a:xfrm>
      </xdr:grpSpPr>
      <xdr:sp macro="" textlink="">
        <xdr:nvSpPr>
          <xdr:cNvPr id="5" name="Fluxograma: Processo alternativo 46">
            <a:extLst>
              <a:ext uri="{FF2B5EF4-FFF2-40B4-BE49-F238E27FC236}">
                <a16:creationId xmlns:a16="http://schemas.microsoft.com/office/drawing/2014/main" id="{C168AF35-EC7D-F39A-3940-932CF32C0DD1}"/>
              </a:ext>
            </a:extLst>
          </xdr:cNvPr>
          <xdr:cNvSpPr/>
        </xdr:nvSpPr>
        <xdr:spPr>
          <a:xfrm>
            <a:off x="5915025" y="42967275"/>
            <a:ext cx="1685925" cy="685799"/>
          </a:xfrm>
          <a:prstGeom prst="flowChartAlternateProcess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800" b="0">
                <a:latin typeface="+mj-lt"/>
              </a:rPr>
              <a:t> </a:t>
            </a:r>
            <a:r>
              <a:rPr lang="pt-BR" sz="1800" b="1">
                <a:solidFill>
                  <a:sysClr val="windowText" lastClr="000000"/>
                </a:solidFill>
                <a:latin typeface="+mj-lt"/>
              </a:rPr>
              <a:t>Uniportas</a:t>
            </a:r>
          </a:p>
        </xdr:txBody>
      </xdr:sp>
      <xdr:grpSp>
        <xdr:nvGrpSpPr>
          <xdr:cNvPr id="6" name="Grupo 50">
            <a:extLst>
              <a:ext uri="{FF2B5EF4-FFF2-40B4-BE49-F238E27FC236}">
                <a16:creationId xmlns:a16="http://schemas.microsoft.com/office/drawing/2014/main" id="{597A5B1C-9EE1-8EFB-F8D4-E4207A881F88}"/>
              </a:ext>
            </a:extLst>
          </xdr:cNvPr>
          <xdr:cNvGrpSpPr/>
        </xdr:nvGrpSpPr>
        <xdr:grpSpPr>
          <a:xfrm>
            <a:off x="6315075" y="42024300"/>
            <a:ext cx="914400" cy="1047750"/>
            <a:chOff x="2971800" y="42700575"/>
            <a:chExt cx="914400" cy="1047750"/>
          </a:xfrm>
        </xdr:grpSpPr>
        <xdr:sp macro="" textlink="">
          <xdr:nvSpPr>
            <xdr:cNvPr id="7" name="Seta para baixo 48">
              <a:extLst>
                <a:ext uri="{FF2B5EF4-FFF2-40B4-BE49-F238E27FC236}">
                  <a16:creationId xmlns:a16="http://schemas.microsoft.com/office/drawing/2014/main" id="{2984BF33-F6E6-39AD-767A-A547685F4620}"/>
                </a:ext>
              </a:extLst>
            </xdr:cNvPr>
            <xdr:cNvSpPr/>
          </xdr:nvSpPr>
          <xdr:spPr>
            <a:xfrm flipV="1">
              <a:off x="2971800" y="42700575"/>
              <a:ext cx="914400" cy="981075"/>
            </a:xfrm>
            <a:prstGeom prst="downArrow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pt-BR" sz="1100"/>
            </a:p>
          </xdr:txBody>
        </xdr:sp>
        <xdr:sp macro="" textlink="">
          <xdr:nvSpPr>
            <xdr:cNvPr id="8" name="Retângulo de cantos arredondados 49">
              <a:extLst>
                <a:ext uri="{FF2B5EF4-FFF2-40B4-BE49-F238E27FC236}">
                  <a16:creationId xmlns:a16="http://schemas.microsoft.com/office/drawing/2014/main" id="{747B2158-3B45-EF52-4FC7-81D6B8513E7A}"/>
                </a:ext>
              </a:extLst>
            </xdr:cNvPr>
            <xdr:cNvSpPr/>
          </xdr:nvSpPr>
          <xdr:spPr>
            <a:xfrm>
              <a:off x="2971800" y="43386375"/>
              <a:ext cx="914400" cy="361950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r>
                <a:rPr lang="pt-BR" sz="1800" b="1">
                  <a:latin typeface="+mj-lt"/>
                </a:rPr>
                <a:t>UP</a:t>
              </a:r>
            </a:p>
          </xdr:txBody>
        </xdr:sp>
      </xdr:grpSp>
    </xdr:grpSp>
    <xdr:clientData/>
  </xdr:twoCellAnchor>
  <xdr:twoCellAnchor>
    <xdr:from>
      <xdr:col>2</xdr:col>
      <xdr:colOff>28574</xdr:colOff>
      <xdr:row>225</xdr:row>
      <xdr:rowOff>133350</xdr:rowOff>
    </xdr:from>
    <xdr:to>
      <xdr:col>15</xdr:col>
      <xdr:colOff>342899</xdr:colOff>
      <xdr:row>254</xdr:row>
      <xdr:rowOff>32543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4B55A81D-BA1F-452B-A259-0A942C3F4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261</xdr:row>
      <xdr:rowOff>0</xdr:rowOff>
    </xdr:from>
    <xdr:to>
      <xdr:col>17</xdr:col>
      <xdr:colOff>939006</xdr:colOff>
      <xdr:row>287</xdr:row>
      <xdr:rowOff>43656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658D782-5F2D-4B3D-BC66-E163E62FC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704850</xdr:colOff>
      <xdr:row>4</xdr:row>
      <xdr:rowOff>142875</xdr:rowOff>
    </xdr:from>
    <xdr:to>
      <xdr:col>16</xdr:col>
      <xdr:colOff>634206</xdr:colOff>
      <xdr:row>30</xdr:row>
      <xdr:rowOff>186531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91B2EF4-3E70-4C28-8B1A-7E77F812BF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95250</xdr:colOff>
      <xdr:row>1</xdr:row>
      <xdr:rowOff>161925</xdr:rowOff>
    </xdr:from>
    <xdr:ext cx="3803734" cy="468013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C9D5C32-6001-46A9-BD90-82FE111522A5}"/>
            </a:ext>
          </a:extLst>
        </xdr:cNvPr>
        <xdr:cNvSpPr/>
      </xdr:nvSpPr>
      <xdr:spPr>
        <a:xfrm>
          <a:off x="2085975" y="352425"/>
          <a:ext cx="380373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Despesas</a:t>
          </a:r>
          <a:r>
            <a:rPr lang="pt-BR" sz="24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por Atendimento</a:t>
          </a:r>
          <a:endParaRPr lang="pt-BR" sz="2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25</xdr:col>
      <xdr:colOff>914400</xdr:colOff>
      <xdr:row>14</xdr:row>
      <xdr:rowOff>171450</xdr:rowOff>
    </xdr:from>
    <xdr:to>
      <xdr:col>27</xdr:col>
      <xdr:colOff>169069</xdr:colOff>
      <xdr:row>16</xdr:row>
      <xdr:rowOff>178990</xdr:rowOff>
    </xdr:to>
    <xdr:sp macro="[0]!Macro1_consumido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B410A03-B907-4C18-811F-5A525D307EE5}"/>
            </a:ext>
          </a:extLst>
        </xdr:cNvPr>
        <xdr:cNvSpPr/>
      </xdr:nvSpPr>
      <xdr:spPr>
        <a:xfrm>
          <a:off x="25917525" y="2838450"/>
          <a:ext cx="1254919" cy="38854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ysClr val="windowText" lastClr="000000"/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ATUALIZAR</a:t>
          </a:r>
        </a:p>
      </xdr:txBody>
    </xdr:sp>
    <xdr:clientData/>
  </xdr:twoCellAnchor>
  <xdr:twoCellAnchor>
    <xdr:from>
      <xdr:col>0</xdr:col>
      <xdr:colOff>209550</xdr:colOff>
      <xdr:row>1</xdr:row>
      <xdr:rowOff>76200</xdr:rowOff>
    </xdr:from>
    <xdr:to>
      <xdr:col>1</xdr:col>
      <xdr:colOff>441326</xdr:colOff>
      <xdr:row>3</xdr:row>
      <xdr:rowOff>107995</xdr:rowOff>
    </xdr:to>
    <xdr:sp macro="" textlink="">
      <xdr:nvSpPr>
        <xdr:cNvPr id="11" name="Fluxograma: Processo alternativo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B85C97-09DC-417A-85B7-C783351AB5FD}"/>
            </a:ext>
          </a:extLst>
        </xdr:cNvPr>
        <xdr:cNvSpPr/>
      </xdr:nvSpPr>
      <xdr:spPr>
        <a:xfrm>
          <a:off x="209550" y="266700"/>
          <a:ext cx="1241426" cy="412795"/>
        </a:xfrm>
        <a:prstGeom prst="flowChartAlternateProcess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7</xdr:col>
      <xdr:colOff>914400</xdr:colOff>
      <xdr:row>1</xdr:row>
      <xdr:rowOff>171450</xdr:rowOff>
    </xdr:from>
    <xdr:to>
      <xdr:col>8</xdr:col>
      <xdr:colOff>293325</xdr:colOff>
      <xdr:row>3</xdr:row>
      <xdr:rowOff>150450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FF3D63-E782-4EE5-8007-6D067D1C2F33}"/>
            </a:ext>
          </a:extLst>
        </xdr:cNvPr>
        <xdr:cNvGrpSpPr/>
      </xdr:nvGrpSpPr>
      <xdr:grpSpPr>
        <a:xfrm>
          <a:off x="7905750" y="361950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9" name="Gráfico 8" descr="Maximizar com preenchimento sólido">
            <a:extLst>
              <a:ext uri="{FF2B5EF4-FFF2-40B4-BE49-F238E27FC236}">
                <a16:creationId xmlns:a16="http://schemas.microsoft.com/office/drawing/2014/main" id="{C69D83A0-7F8C-5640-FADA-5F0B134CF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10" name="Gráfico 9" descr="Monitor com preenchimento sólido">
            <a:extLst>
              <a:ext uri="{FF2B5EF4-FFF2-40B4-BE49-F238E27FC236}">
                <a16:creationId xmlns:a16="http://schemas.microsoft.com/office/drawing/2014/main" id="{4374CFC6-B4CA-B60D-B794-B10EA5AB72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495300</xdr:colOff>
      <xdr:row>1</xdr:row>
      <xdr:rowOff>171450</xdr:rowOff>
    </xdr:from>
    <xdr:to>
      <xdr:col>7</xdr:col>
      <xdr:colOff>855300</xdr:colOff>
      <xdr:row>3</xdr:row>
      <xdr:rowOff>150450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DA20E5A-4F54-44C0-A1A7-EF52A57720A0}"/>
            </a:ext>
          </a:extLst>
        </xdr:cNvPr>
        <xdr:cNvGrpSpPr/>
      </xdr:nvGrpSpPr>
      <xdr:grpSpPr>
        <a:xfrm>
          <a:off x="7486650" y="36195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15" name="Gráfico 14" descr="Monitor com preenchimento sólido">
            <a:extLst>
              <a:ext uri="{FF2B5EF4-FFF2-40B4-BE49-F238E27FC236}">
                <a16:creationId xmlns:a16="http://schemas.microsoft.com/office/drawing/2014/main" id="{EE24F110-C673-2ABF-90DA-026ED0EC26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16" name="Gráfico 15" descr="Minimizar com preenchimento sólido">
            <a:extLst>
              <a:ext uri="{FF2B5EF4-FFF2-40B4-BE49-F238E27FC236}">
                <a16:creationId xmlns:a16="http://schemas.microsoft.com/office/drawing/2014/main" id="{9B58A6F2-DEF2-F7E9-33C7-6DF56C4EEB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12</xdr:row>
      <xdr:rowOff>19050</xdr:rowOff>
    </xdr:from>
    <xdr:to>
      <xdr:col>2</xdr:col>
      <xdr:colOff>2124075</xdr:colOff>
      <xdr:row>14</xdr:row>
      <xdr:rowOff>66675</xdr:rowOff>
    </xdr:to>
    <xdr:sp macro="[0]!ModoTelaCheia_Toggle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EDF5D247-37E5-44ED-8D46-DB49C64812D9}"/>
            </a:ext>
          </a:extLst>
        </xdr:cNvPr>
        <xdr:cNvSpPr/>
      </xdr:nvSpPr>
      <xdr:spPr>
        <a:xfrm>
          <a:off x="4505325" y="1266825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114300</xdr:colOff>
      <xdr:row>10</xdr:row>
      <xdr:rowOff>47625</xdr:rowOff>
    </xdr:from>
    <xdr:ext cx="4057650" cy="342786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142C085-31B5-48FF-9931-276A320ACBD7}"/>
            </a:ext>
          </a:extLst>
        </xdr:cNvPr>
        <xdr:cNvSpPr/>
      </xdr:nvSpPr>
      <xdr:spPr>
        <a:xfrm>
          <a:off x="114300" y="2428875"/>
          <a:ext cx="4057650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Lista Custos com Correios com Reposição</a:t>
          </a:r>
          <a:r>
            <a:rPr lang="pt-BR" sz="16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endParaRPr lang="pt-BR" sz="16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2</xdr:col>
      <xdr:colOff>114300</xdr:colOff>
      <xdr:row>14</xdr:row>
      <xdr:rowOff>133350</xdr:rowOff>
    </xdr:from>
    <xdr:to>
      <xdr:col>2</xdr:col>
      <xdr:colOff>1355726</xdr:colOff>
      <xdr:row>16</xdr:row>
      <xdr:rowOff>60370</xdr:rowOff>
    </xdr:to>
    <xdr:sp macro="" textlink="">
      <xdr:nvSpPr>
        <xdr:cNvPr id="4" name="Fluxograma: Processo alternativ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668BA0-04F3-4323-94C3-850067D3BE9C}"/>
            </a:ext>
          </a:extLst>
        </xdr:cNvPr>
        <xdr:cNvSpPr/>
      </xdr:nvSpPr>
      <xdr:spPr>
        <a:xfrm>
          <a:off x="4876800" y="3495675"/>
          <a:ext cx="1241426" cy="412795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2</xdr:col>
      <xdr:colOff>1485900</xdr:colOff>
      <xdr:row>14</xdr:row>
      <xdr:rowOff>133350</xdr:rowOff>
    </xdr:from>
    <xdr:to>
      <xdr:col>3</xdr:col>
      <xdr:colOff>555626</xdr:colOff>
      <xdr:row>16</xdr:row>
      <xdr:rowOff>60370</xdr:rowOff>
    </xdr:to>
    <xdr:sp macro="" textlink="">
      <xdr:nvSpPr>
        <xdr:cNvPr id="5" name="Fluxograma: Processo alternativ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E2F6EE-01D6-596F-4F17-E1720BEBD8AC}"/>
            </a:ext>
          </a:extLst>
        </xdr:cNvPr>
        <xdr:cNvSpPr/>
      </xdr:nvSpPr>
      <xdr:spPr>
        <a:xfrm>
          <a:off x="6248400" y="1876425"/>
          <a:ext cx="1241426" cy="412795"/>
        </a:xfrm>
        <a:prstGeom prst="flowChartAlternateProcess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FORNECEDOR</a:t>
          </a:r>
        </a:p>
      </xdr:txBody>
    </xdr:sp>
    <xdr:clientData/>
  </xdr:twoCellAnchor>
  <xdr:twoCellAnchor>
    <xdr:from>
      <xdr:col>2</xdr:col>
      <xdr:colOff>1381125</xdr:colOff>
      <xdr:row>12</xdr:row>
      <xdr:rowOff>142875</xdr:rowOff>
    </xdr:from>
    <xdr:to>
      <xdr:col>2</xdr:col>
      <xdr:colOff>1741125</xdr:colOff>
      <xdr:row>14</xdr:row>
      <xdr:rowOff>7575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F39EEDC-DC87-4A45-96C1-7C9F0734E541}"/>
            </a:ext>
          </a:extLst>
        </xdr:cNvPr>
        <xdr:cNvGrpSpPr/>
      </xdr:nvGrpSpPr>
      <xdr:grpSpPr>
        <a:xfrm>
          <a:off x="5229225" y="1390650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 macro="[1]!EstaPasta_de_trabalho.lsLigarTelaCheia">
        <xdr:nvPicPr>
          <xdr:cNvPr id="6" name="Gráfico 5" descr="Maximizar com preenchimento sólido">
            <a:extLst>
              <a:ext uri="{FF2B5EF4-FFF2-40B4-BE49-F238E27FC236}">
                <a16:creationId xmlns:a16="http://schemas.microsoft.com/office/drawing/2014/main" id="{F0BAB240-EB47-911C-2EBB-A018505451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 macro="[1]!EstaPasta_de_trabalho.lsLigarTelaCheia">
        <xdr:nvPicPr>
          <xdr:cNvPr id="7" name="Gráfico 6" descr="Monitor com preenchimento sólido">
            <a:extLst>
              <a:ext uri="{FF2B5EF4-FFF2-40B4-BE49-F238E27FC236}">
                <a16:creationId xmlns:a16="http://schemas.microsoft.com/office/drawing/2014/main" id="{B81DBDEE-AA9E-2B54-253D-B15A75D2FB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962025</xdr:colOff>
      <xdr:row>12</xdr:row>
      <xdr:rowOff>142875</xdr:rowOff>
    </xdr:from>
    <xdr:to>
      <xdr:col>2</xdr:col>
      <xdr:colOff>1322025</xdr:colOff>
      <xdr:row>14</xdr:row>
      <xdr:rowOff>7575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0B347B9-7E44-4667-88B3-8BFF4127485F}"/>
            </a:ext>
          </a:extLst>
        </xdr:cNvPr>
        <xdr:cNvGrpSpPr/>
      </xdr:nvGrpSpPr>
      <xdr:grpSpPr>
        <a:xfrm>
          <a:off x="4810125" y="1390650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9" name="Gráfico 8" descr="Monitor com preenchimento sólido">
            <a:extLst>
              <a:ext uri="{FF2B5EF4-FFF2-40B4-BE49-F238E27FC236}">
                <a16:creationId xmlns:a16="http://schemas.microsoft.com/office/drawing/2014/main" id="{AC4D41CE-D112-B50F-DB24-A94C8A84D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10" name="Gráfico 9" descr="Minimizar com preenchimento sólido">
            <a:extLst>
              <a:ext uri="{FF2B5EF4-FFF2-40B4-BE49-F238E27FC236}">
                <a16:creationId xmlns:a16="http://schemas.microsoft.com/office/drawing/2014/main" id="{55028283-5ED8-CA87-1183-4E5432DA61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11</xdr:row>
      <xdr:rowOff>200025</xdr:rowOff>
    </xdr:from>
    <xdr:to>
      <xdr:col>2</xdr:col>
      <xdr:colOff>1533525</xdr:colOff>
      <xdr:row>14</xdr:row>
      <xdr:rowOff>19050</xdr:rowOff>
    </xdr:to>
    <xdr:sp macro="[0]!ModoTelaCheia_Toggle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16614378-2053-406C-97F0-5AEAFA793FC7}"/>
            </a:ext>
          </a:extLst>
        </xdr:cNvPr>
        <xdr:cNvSpPr/>
      </xdr:nvSpPr>
      <xdr:spPr>
        <a:xfrm>
          <a:off x="3914775" y="1200150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10</xdr:row>
      <xdr:rowOff>38100</xdr:rowOff>
    </xdr:from>
    <xdr:ext cx="4057650" cy="342786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5CF8E01-2F63-4EF5-BE4B-239C5E172E08}"/>
            </a:ext>
          </a:extLst>
        </xdr:cNvPr>
        <xdr:cNvSpPr/>
      </xdr:nvSpPr>
      <xdr:spPr>
        <a:xfrm>
          <a:off x="0" y="2276475"/>
          <a:ext cx="4057650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Lista Custos com Correios Sem Reposição</a:t>
          </a:r>
          <a:r>
            <a:rPr lang="pt-BR" sz="1600" b="1" cap="none" spc="50" baseline="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endParaRPr lang="pt-BR" sz="16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2</xdr:col>
      <xdr:colOff>104775</xdr:colOff>
      <xdr:row>14</xdr:row>
      <xdr:rowOff>161925</xdr:rowOff>
    </xdr:from>
    <xdr:to>
      <xdr:col>2</xdr:col>
      <xdr:colOff>1346201</xdr:colOff>
      <xdr:row>16</xdr:row>
      <xdr:rowOff>98470</xdr:rowOff>
    </xdr:to>
    <xdr:sp macro="" textlink="">
      <xdr:nvSpPr>
        <xdr:cNvPr id="4" name="Fluxograma: Processo alternativ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E20C9E-8E74-4E99-B53C-1A4A713EBF50}"/>
            </a:ext>
          </a:extLst>
        </xdr:cNvPr>
        <xdr:cNvSpPr/>
      </xdr:nvSpPr>
      <xdr:spPr>
        <a:xfrm>
          <a:off x="4391025" y="3362325"/>
          <a:ext cx="1241426" cy="412795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2</xdr:col>
      <xdr:colOff>790575</xdr:colOff>
      <xdr:row>12</xdr:row>
      <xdr:rowOff>38100</xdr:rowOff>
    </xdr:from>
    <xdr:to>
      <xdr:col>2</xdr:col>
      <xdr:colOff>1150575</xdr:colOff>
      <xdr:row>13</xdr:row>
      <xdr:rowOff>159975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8939D95-8DA1-402E-B4E5-BC11779861B0}"/>
            </a:ext>
          </a:extLst>
        </xdr:cNvPr>
        <xdr:cNvGrpSpPr/>
      </xdr:nvGrpSpPr>
      <xdr:grpSpPr>
        <a:xfrm>
          <a:off x="4638675" y="1285875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5" name="Gráfico 4" descr="Maximizar com preenchimento sólido">
            <a:extLst>
              <a:ext uri="{FF2B5EF4-FFF2-40B4-BE49-F238E27FC236}">
                <a16:creationId xmlns:a16="http://schemas.microsoft.com/office/drawing/2014/main" id="{AB97FB32-238F-B6BE-69AC-BE92C4168A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6" name="Gráfico 5" descr="Monitor com preenchimento sólido">
            <a:extLst>
              <a:ext uri="{FF2B5EF4-FFF2-40B4-BE49-F238E27FC236}">
                <a16:creationId xmlns:a16="http://schemas.microsoft.com/office/drawing/2014/main" id="{46185900-16A6-33B7-CAC9-420491E20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371475</xdr:colOff>
      <xdr:row>12</xdr:row>
      <xdr:rowOff>38100</xdr:rowOff>
    </xdr:from>
    <xdr:to>
      <xdr:col>2</xdr:col>
      <xdr:colOff>731475</xdr:colOff>
      <xdr:row>13</xdr:row>
      <xdr:rowOff>159975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35B7F20A-DE13-47F9-BAA2-D66452A0B122}"/>
            </a:ext>
          </a:extLst>
        </xdr:cNvPr>
        <xdr:cNvGrpSpPr/>
      </xdr:nvGrpSpPr>
      <xdr:grpSpPr>
        <a:xfrm>
          <a:off x="4219575" y="1285875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8" name="Gráfico 7" descr="Monitor com preenchimento sólido">
            <a:extLst>
              <a:ext uri="{FF2B5EF4-FFF2-40B4-BE49-F238E27FC236}">
                <a16:creationId xmlns:a16="http://schemas.microsoft.com/office/drawing/2014/main" id="{C26A9D29-BD10-8922-1191-C959B5E27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9" name="Gráfico 8" descr="Minimizar com preenchimento sólido">
            <a:extLst>
              <a:ext uri="{FF2B5EF4-FFF2-40B4-BE49-F238E27FC236}">
                <a16:creationId xmlns:a16="http://schemas.microsoft.com/office/drawing/2014/main" id="{4700F6F5-C2DA-F302-DB4D-CE4660229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419100</xdr:colOff>
      <xdr:row>3</xdr:row>
      <xdr:rowOff>133350</xdr:rowOff>
    </xdr:from>
    <xdr:to>
      <xdr:col>16</xdr:col>
      <xdr:colOff>57150</xdr:colOff>
      <xdr:row>5</xdr:row>
      <xdr:rowOff>200025</xdr:rowOff>
    </xdr:to>
    <xdr:sp macro="[0]!ModoTelaCheia_Toggle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414C9867-D2EA-4DBB-A256-312F93958D40}"/>
            </a:ext>
          </a:extLst>
        </xdr:cNvPr>
        <xdr:cNvSpPr/>
      </xdr:nvSpPr>
      <xdr:spPr>
        <a:xfrm>
          <a:off x="10306050" y="847725"/>
          <a:ext cx="1466850" cy="542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</xdr:colOff>
      <xdr:row>1</xdr:row>
      <xdr:rowOff>123825</xdr:rowOff>
    </xdr:from>
    <xdr:to>
      <xdr:col>5</xdr:col>
      <xdr:colOff>266700</xdr:colOff>
      <xdr:row>5</xdr:row>
      <xdr:rowOff>85725</xdr:rowOff>
    </xdr:to>
    <xdr:sp macro="" textlink="">
      <xdr:nvSpPr>
        <xdr:cNvPr id="2" name="Seta: para a Esquerda 1">
          <a:extLst>
            <a:ext uri="{FF2B5EF4-FFF2-40B4-BE49-F238E27FC236}">
              <a16:creationId xmlns:a16="http://schemas.microsoft.com/office/drawing/2014/main" id="{D8B7E41A-C4B3-3D81-6946-6081059D30A0}"/>
            </a:ext>
          </a:extLst>
        </xdr:cNvPr>
        <xdr:cNvSpPr/>
      </xdr:nvSpPr>
      <xdr:spPr>
        <a:xfrm>
          <a:off x="4762500" y="361950"/>
          <a:ext cx="2038350" cy="914400"/>
        </a:xfrm>
        <a:prstGeom prst="lef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5</xdr:col>
      <xdr:colOff>352770</xdr:colOff>
      <xdr:row>1</xdr:row>
      <xdr:rowOff>88398</xdr:rowOff>
    </xdr:from>
    <xdr:ext cx="5142818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88F2381-0188-AC02-5BA4-F3E318D3095D}"/>
            </a:ext>
          </a:extLst>
        </xdr:cNvPr>
        <xdr:cNvSpPr/>
      </xdr:nvSpPr>
      <xdr:spPr>
        <a:xfrm>
          <a:off x="6886920" y="326523"/>
          <a:ext cx="514281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>
              <a:ln/>
              <a:solidFill>
                <a:schemeClr val="accent4"/>
              </a:solidFill>
              <a:effectLst/>
            </a:rPr>
            <a:t>Filtro</a:t>
          </a:r>
          <a:r>
            <a:rPr lang="pt-BR" sz="5400" b="1" cap="none" spc="0" baseline="0">
              <a:ln/>
              <a:solidFill>
                <a:schemeClr val="accent4"/>
              </a:solidFill>
              <a:effectLst/>
            </a:rPr>
            <a:t> Fornecedor</a:t>
          </a:r>
          <a:endParaRPr lang="pt-BR" sz="5400" b="1" cap="none" spc="0">
            <a:ln/>
            <a:solidFill>
              <a:schemeClr val="accent4"/>
            </a:solidFill>
            <a:effectLst/>
          </a:endParaRPr>
        </a:p>
      </xdr:txBody>
    </xdr:sp>
    <xdr:clientData/>
  </xdr:oneCellAnchor>
  <xdr:twoCellAnchor>
    <xdr:from>
      <xdr:col>3</xdr:col>
      <xdr:colOff>133350</xdr:colOff>
      <xdr:row>0</xdr:row>
      <xdr:rowOff>104775</xdr:rowOff>
    </xdr:from>
    <xdr:to>
      <xdr:col>5</xdr:col>
      <xdr:colOff>155576</xdr:colOff>
      <xdr:row>2</xdr:row>
      <xdr:rowOff>41320</xdr:rowOff>
    </xdr:to>
    <xdr:sp macro="" textlink="">
      <xdr:nvSpPr>
        <xdr:cNvPr id="4" name="Fluxograma: Processo alternativ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E73A39-3DBD-4DE1-BB5D-DD608DAB66BE}"/>
            </a:ext>
          </a:extLst>
        </xdr:cNvPr>
        <xdr:cNvSpPr/>
      </xdr:nvSpPr>
      <xdr:spPr>
        <a:xfrm>
          <a:off x="5448300" y="104775"/>
          <a:ext cx="1241426" cy="412795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  <xdr:twoCellAnchor>
    <xdr:from>
      <xdr:col>14</xdr:col>
      <xdr:colOff>590895</xdr:colOff>
      <xdr:row>4</xdr:row>
      <xdr:rowOff>78873</xdr:rowOff>
    </xdr:from>
    <xdr:to>
      <xdr:col>15</xdr:col>
      <xdr:colOff>341295</xdr:colOff>
      <xdr:row>5</xdr:row>
      <xdr:rowOff>200748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610E0A6-723E-4AF6-9753-3BB0A8ACB1F6}"/>
            </a:ext>
          </a:extLst>
        </xdr:cNvPr>
        <xdr:cNvGrpSpPr/>
      </xdr:nvGrpSpPr>
      <xdr:grpSpPr>
        <a:xfrm>
          <a:off x="11487495" y="1031373"/>
          <a:ext cx="360000" cy="360000"/>
          <a:chOff x="5208203" y="215101"/>
          <a:chExt cx="331953" cy="331887"/>
        </a:xfrm>
        <a:solidFill>
          <a:schemeClr val="bg1">
            <a:lumMod val="85000"/>
          </a:schemeClr>
        </a:solidFill>
      </xdr:grpSpPr>
      <xdr:pic>
        <xdr:nvPicPr>
          <xdr:cNvPr id="6" name="Gráfico 5" descr="Maximizar com preenchimento sólido">
            <a:extLst>
              <a:ext uri="{FF2B5EF4-FFF2-40B4-BE49-F238E27FC236}">
                <a16:creationId xmlns:a16="http://schemas.microsoft.com/office/drawing/2014/main" id="{89491BC3-36E3-7712-76F4-76985516AA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 rot="663259">
            <a:off x="5300910" y="286126"/>
            <a:ext cx="144888" cy="145278"/>
          </a:xfrm>
          <a:prstGeom prst="rect">
            <a:avLst/>
          </a:prstGeom>
        </xdr:spPr>
      </xdr:pic>
      <xdr:pic>
        <xdr:nvPicPr>
          <xdr:cNvPr id="7" name="Gráfico 6" descr="Monitor com preenchimento sólido">
            <a:extLst>
              <a:ext uri="{FF2B5EF4-FFF2-40B4-BE49-F238E27FC236}">
                <a16:creationId xmlns:a16="http://schemas.microsoft.com/office/drawing/2014/main" id="{28FC4E7C-3A6B-B0C1-EAF1-AA8B8632E9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5208203" y="215101"/>
            <a:ext cx="331953" cy="33188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171795</xdr:colOff>
      <xdr:row>4</xdr:row>
      <xdr:rowOff>78873</xdr:rowOff>
    </xdr:from>
    <xdr:to>
      <xdr:col>14</xdr:col>
      <xdr:colOff>531795</xdr:colOff>
      <xdr:row>5</xdr:row>
      <xdr:rowOff>200748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6DA2D91-2BCD-488C-B56F-8A1B046C04EF}"/>
            </a:ext>
          </a:extLst>
        </xdr:cNvPr>
        <xdr:cNvGrpSpPr/>
      </xdr:nvGrpSpPr>
      <xdr:grpSpPr>
        <a:xfrm>
          <a:off x="11068395" y="1031373"/>
          <a:ext cx="360000" cy="360000"/>
          <a:chOff x="4664100" y="219214"/>
          <a:chExt cx="331953" cy="331349"/>
        </a:xfrm>
        <a:solidFill>
          <a:schemeClr val="bg1">
            <a:lumMod val="85000"/>
          </a:schemeClr>
        </a:solidFill>
      </xdr:grpSpPr>
      <xdr:pic>
        <xdr:nvPicPr>
          <xdr:cNvPr id="9" name="Gráfico 8" descr="Monitor com preenchimento sólido">
            <a:extLst>
              <a:ext uri="{FF2B5EF4-FFF2-40B4-BE49-F238E27FC236}">
                <a16:creationId xmlns:a16="http://schemas.microsoft.com/office/drawing/2014/main" id="{CB12FBAC-0562-0DDB-9C3A-797AB1B798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664100" y="219214"/>
            <a:ext cx="331953" cy="331349"/>
          </a:xfrm>
          <a:prstGeom prst="rect">
            <a:avLst/>
          </a:prstGeom>
        </xdr:spPr>
      </xdr:pic>
      <xdr:pic>
        <xdr:nvPicPr>
          <xdr:cNvPr id="10" name="Gráfico 9" descr="Minimizar com preenchimento sólido">
            <a:extLst>
              <a:ext uri="{FF2B5EF4-FFF2-40B4-BE49-F238E27FC236}">
                <a16:creationId xmlns:a16="http://schemas.microsoft.com/office/drawing/2014/main" id="{32FF4E0E-9D69-16AD-9AA8-8B873C37F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 rot="984832">
            <a:off x="4740148" y="278536"/>
            <a:ext cx="170092" cy="170367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1504950</xdr:colOff>
      <xdr:row>4</xdr:row>
      <xdr:rowOff>133350</xdr:rowOff>
    </xdr:from>
    <xdr:to>
      <xdr:col>0</xdr:col>
      <xdr:colOff>2771775</xdr:colOff>
      <xdr:row>4</xdr:row>
      <xdr:rowOff>542925</xdr:rowOff>
    </xdr:to>
    <xdr:sp macro="[0]!ModoTelaCheia_Toggl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D827C45-7A51-405C-810F-9A1E85067ACF}"/>
            </a:ext>
          </a:extLst>
        </xdr:cNvPr>
        <xdr:cNvSpPr/>
      </xdr:nvSpPr>
      <xdr:spPr>
        <a:xfrm>
          <a:off x="1504950" y="1085850"/>
          <a:ext cx="1266825" cy="40957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114300</xdr:colOff>
      <xdr:row>4</xdr:row>
      <xdr:rowOff>133350</xdr:rowOff>
    </xdr:from>
    <xdr:to>
      <xdr:col>0</xdr:col>
      <xdr:colOff>1355726</xdr:colOff>
      <xdr:row>4</xdr:row>
      <xdr:rowOff>546145</xdr:rowOff>
    </xdr:to>
    <xdr:sp macro="" textlink="">
      <xdr:nvSpPr>
        <xdr:cNvPr id="2" name="Fluxograma: Processo alternativo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D35D22-5471-4911-BD24-E279017B40B9}"/>
            </a:ext>
          </a:extLst>
        </xdr:cNvPr>
        <xdr:cNvSpPr/>
      </xdr:nvSpPr>
      <xdr:spPr>
        <a:xfrm>
          <a:off x="114300" y="1085850"/>
          <a:ext cx="1241426" cy="412795"/>
        </a:xfrm>
        <a:prstGeom prst="flowChartAlternateProcess">
          <a:avLst/>
        </a:prstGeom>
        <a:solidFill>
          <a:schemeClr val="accent5">
            <a:lumMod val="60000"/>
            <a:lumOff val="40000"/>
          </a:schemeClr>
        </a:solidFill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VOLTAR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Expedi&#231;&#227;o\PRODU&#199;&#195;O\Produtividade%202025\Produtividade%202025\Fechamento%202025%20-%20v2.xlsm" TargetMode="External"/><Relationship Id="rId1" Type="http://schemas.openxmlformats.org/officeDocument/2006/relationships/externalLinkPath" Target="file:///Y:\Expedi&#231;&#227;o\PRODU&#199;&#195;O\Produtividade%202025\Produtividade%202025\Fechamento%202025%20-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mo"/>
      <sheetName val=" Menu"/>
      <sheetName val="Dados"/>
      <sheetName val="fechamento"/>
      <sheetName val="Comparativo"/>
      <sheetName val="Célula M - Anual"/>
      <sheetName val="Celula A - Mensal"/>
      <sheetName val="Célula A - Anual"/>
      <sheetName val="Celula M - Mensal"/>
      <sheetName val="Friso - Mensal"/>
      <sheetName val="Friso - Anual"/>
      <sheetName val="Consertos - Mensal"/>
      <sheetName val="Consertos - Anual"/>
      <sheetName val="Pintura - Mensal"/>
      <sheetName val="Pintura - Anual"/>
      <sheetName val="Embalagens - Mensal"/>
      <sheetName val="Embalagens Anual"/>
      <sheetName val="Fechamento 2025 - v2"/>
    </sheetNames>
    <definedNames>
      <definedName name="EstaPasta_de_trabalho.lsLigarTelaChei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t@uniportas.com.br" id="{8FD41CDC-708D-4FD1-9AD4-2C7B9F032C9F}" userId="669c47fe94f0f645" providerId="Windows Live"/>
  <person displayName="Luis Lúh" id="{9C4A6972-C3AF-4A95-BE47-B390B25F28EE}" userId="S::lkrexdragon@06bmv.onmicrosoft.com::21f382c5-ab80-4f33-aabc-cc3b6c3a8570" providerId="AD"/>
</personList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Carlos Pinto da Silva" refreshedDate="46008.38796886574" backgroundQuery="1" createdVersion="8" refreshedVersion="8" minRefreshableVersion="3" recordCount="0" supportSubquery="1" supportAdvancedDrill="1" xr:uid="{00000000-000A-0000-FFFF-FFFF00000000}">
  <cacheSource type="external" connectionId="1"/>
  <cacheFields count="2">
    <cacheField name="[AT_2015].[Responsável].[Responsável]" caption="Responsável" numFmtId="0" hierarchy="11" level="1">
      <sharedItems count="3">
        <s v="Consumidor"/>
        <s v="Fornecedor"/>
        <s v="Uniportas"/>
      </sharedItems>
    </cacheField>
    <cacheField name="[Measures].[Contagem de Nº SAT]" caption="Contagem de Nº SAT" numFmtId="0" hierarchy="29" level="32767"/>
  </cacheFields>
  <cacheHierarchies count="30">
    <cacheHierarchy uniqueName="[AT_2015].[Data]" caption="Data" attribute="1" defaultMemberUniqueName="[AT_2015].[Data].[All]" allUniqueName="[AT_2015].[Data].[All]" dimensionUniqueName="[AT_2015]" displayFolder="" count="0" memberValueDatatype="130" unbalanced="0"/>
    <cacheHierarchy uniqueName="[AT_2015].[Mês]" caption="Mês" attribute="1" defaultMemberUniqueName="[AT_2015].[Mês].[All]" allUniqueName="[AT_2015].[Mês].[All]" dimensionUniqueName="[AT_2015]" displayFolder="" count="0" memberValueDatatype="130" unbalanced="0"/>
    <cacheHierarchy uniqueName="[AT_2015].[Local]" caption="Local" attribute="1" defaultMemberUniqueName="[AT_2015].[Local].[All]" allUniqueName="[AT_2015].[Local].[All]" dimensionUniqueName="[AT_2015]" displayFolder="" count="0" memberValueDatatype="130" unbalanced="0"/>
    <cacheHierarchy uniqueName="[AT_2015].[Cliente]" caption="Cliente" attribute="1" defaultMemberUniqueName="[AT_2015].[Cliente].[All]" allUniqueName="[AT_2015].[Cliente].[All]" dimensionUniqueName="[AT_2015]" displayFolder="" count="0" memberValueDatatype="130" unbalanced="0"/>
    <cacheHierarchy uniqueName="[AT_2015].[Nº SAT]" caption="Nº SAT" attribute="1" defaultMemberUniqueName="[AT_2015].[Nº SAT].[All]" allUniqueName="[AT_2015].[Nº SAT].[All]" dimensionUniqueName="[AT_2015]" displayFolder="" count="0" memberValueDatatype="130" unbalanced="0"/>
    <cacheHierarchy uniqueName="[AT_2015].[Consumidor]" caption="Consumidor" attribute="1" defaultMemberUniqueName="[AT_2015].[Consumidor].[All]" allUniqueName="[AT_2015].[Consumidor].[All]" dimensionUniqueName="[AT_2015]" displayFolder="" count="0" memberValueDatatype="130" unbalanced="0"/>
    <cacheHierarchy uniqueName="[AT_2015].[Qtd]" caption="Qtd" attribute="1" defaultMemberUniqueName="[AT_2015].[Qtd].[All]" allUniqueName="[AT_2015].[Qtd].[All]" dimensionUniqueName="[AT_2015]" displayFolder="" count="0" memberValueDatatype="130" unbalanced="0"/>
    <cacheHierarchy uniqueName="[AT_2015].[Produto]" caption="Produto" attribute="1" defaultMemberUniqueName="[AT_2015].[Produto].[All]" allUniqueName="[AT_2015].[Produto].[All]" dimensionUniqueName="[AT_2015]" displayFolder="" count="0" memberValueDatatype="130" unbalanced="0"/>
    <cacheHierarchy uniqueName="[AT_2015].[Descrição do Produto]" caption="Descrição do Produto" attribute="1" defaultMemberUniqueName="[AT_2015].[Descrição do Produto].[All]" allUniqueName="[AT_2015].[Descrição do Produto].[All]" dimensionUniqueName="[AT_2015]" displayFolder="" count="0" memberValueDatatype="130" unbalanced="0"/>
    <cacheHierarchy uniqueName="[AT_2015].[Fornecedor]" caption="Fornecedor" attribute="1" defaultMemberUniqueName="[AT_2015].[Fornecedor].[All]" allUniqueName="[AT_2015].[Fornecedor].[All]" dimensionUniqueName="[AT_2015]" displayFolder="" count="0" memberValueDatatype="130" unbalanced="0"/>
    <cacheHierarchy uniqueName="[AT_2015].[Problema]" caption="Problema" attribute="1" defaultMemberUniqueName="[AT_2015].[Problema].[All]" allUniqueName="[AT_2015].[Problema].[All]" dimensionUniqueName="[AT_2015]" displayFolder="" count="0" memberValueDatatype="130" unbalanced="0"/>
    <cacheHierarchy uniqueName="[AT_2015].[Responsável]" caption="Responsável" attribute="1" defaultMemberUniqueName="[AT_2015].[Responsável].[All]" allUniqueName="[AT_2015].[Responsável].[All]" dimensionUniqueName="[AT_2015]" displayFolder="" count="2" memberValueDatatype="130" unbalanced="0">
      <fieldsUsage count="2">
        <fieldUsage x="-1"/>
        <fieldUsage x="0"/>
      </fieldsUsage>
    </cacheHierarchy>
    <cacheHierarchy uniqueName="[AT_2015].[Defeito informado pelo cliente]" caption="Defeito informado pelo cliente" attribute="1" defaultMemberUniqueName="[AT_2015].[Defeito informado pelo cliente].[All]" allUniqueName="[AT_2015].[Defeito informado pelo cliente].[All]" dimensionUniqueName="[AT_2015]" displayFolder="" count="0" memberValueDatatype="130" unbalanced="0"/>
    <cacheHierarchy uniqueName="[AT_2015].[Defeito constatado pelo técnico]" caption="Defeito constatado pelo técnico" attribute="1" defaultMemberUniqueName="[AT_2015].[Defeito constatado pelo técnico].[All]" allUniqueName="[AT_2015].[Defeito constatado pelo técnico].[All]" dimensionUniqueName="[AT_2015]" displayFolder="" count="0" memberValueDatatype="130" unbalanced="0"/>
    <cacheHierarchy uniqueName="[AT_2015].[Troca]" caption="Troca" attribute="1" defaultMemberUniqueName="[AT_2015].[Troca].[All]" allUniqueName="[AT_2015].[Troca].[All]" dimensionUniqueName="[AT_2015]" displayFolder="" count="0" memberValueDatatype="130" unbalanced="0"/>
    <cacheHierarchy uniqueName="[AT_2015].[Serviço executado pelo técnico]" caption="Serviço executado pelo técnico" attribute="1" defaultMemberUniqueName="[AT_2015].[Serviço executado pelo técnico].[All]" allUniqueName="[AT_2015].[Serviço executado pelo técnico].[All]" dimensionUniqueName="[AT_2015]" displayFolder="" count="0" memberValueDatatype="130" unbalanced="0"/>
    <cacheHierarchy uniqueName="[AT_2015].[Código do Produto]" caption="Código do Produto" attribute="1" defaultMemberUniqueName="[AT_2015].[Código do Produto].[All]" allUniqueName="[AT_2015].[Código do Produto].[All]" dimensionUniqueName="[AT_2015]" displayFolder="" count="0" memberValueDatatype="130" unbalanced="0"/>
    <cacheHierarchy uniqueName="[AT_2015].[Solicitar Reposição]" caption="Solicitar Reposição" attribute="1" defaultMemberUniqueName="[AT_2015].[Solicitar Reposição].[All]" allUniqueName="[AT_2015].[Solicitar Reposição].[All]" dimensionUniqueName="[AT_2015]" displayFolder="" count="0" memberValueDatatype="130" unbalanced="0"/>
    <cacheHierarchy uniqueName="[AT_2015].[Mão de obra]" caption="Mão de obra" attribute="1" defaultMemberUniqueName="[AT_2015].[Mão de obra].[All]" allUniqueName="[AT_2015].[Mão de obra].[All]" dimensionUniqueName="[AT_2015]" displayFolder="" count="0" memberValueDatatype="130" unbalanced="0"/>
    <cacheHierarchy uniqueName="[AT_2015].[Deslocamento]" caption="Deslocamento" attribute="1" defaultMemberUniqueName="[AT_2015].[Deslocamento].[All]" allUniqueName="[AT_2015].[Deslocamento].[All]" dimensionUniqueName="[AT_2015]" displayFolder="" count="0" memberValueDatatype="130" unbalanced="0"/>
    <cacheHierarchy uniqueName="[AT_2015].[Correio]" caption="Correio" attribute="1" defaultMemberUniqueName="[AT_2015].[Correio].[All]" allUniqueName="[AT_2015].[Correio].[All]" dimensionUniqueName="[AT_2015]" displayFolder="" count="0" memberValueDatatype="130" unbalanced="0"/>
    <cacheHierarchy uniqueName="[AT_2015].[Pedágio]" caption="Pedágio" attribute="1" defaultMemberUniqueName="[AT_2015].[Pedágio].[All]" allUniqueName="[AT_2015].[Pedágio].[All]" dimensionUniqueName="[AT_2015]" displayFolder="" count="0" memberValueDatatype="130" unbalanced="0"/>
    <cacheHierarchy uniqueName="[AT_2015].[Outros]" caption="Outros" attribute="1" defaultMemberUniqueName="[AT_2015].[Outros].[All]" allUniqueName="[AT_2015].[Outros].[All]" dimensionUniqueName="[AT_2015]" displayFolder="" count="0" memberValueDatatype="130" unbalanced="0"/>
    <cacheHierarchy uniqueName="[AT_2015].[Custo Total]" caption="Custo Total" attribute="1" defaultMemberUniqueName="[AT_2015].[Custo Total].[All]" allUniqueName="[AT_2015].[Custo Total].[All]" dimensionUniqueName="[AT_2015]" displayFolder="" count="0" memberValueDatatype="20" unbalanced="0"/>
    <cacheHierarchy uniqueName="[AT_2015].[Observações]" caption="Observações" attribute="1" defaultMemberUniqueName="[AT_2015].[Observações].[All]" allUniqueName="[AT_2015].[Observações].[All]" dimensionUniqueName="[AT_2015]" displayFolder="" count="0" memberValueDatatype="130" unbalanced="0"/>
    <cacheHierarchy uniqueName="[AT_2015].[Verificador]" caption="Verificador" attribute="1" defaultMemberUniqueName="[AT_2015].[Verificador].[All]" allUniqueName="[AT_2015].[Verificador].[All]" dimensionUniqueName="[AT_2015]" displayFolder="" count="0" memberValueDatatype="20" unbalanced="0"/>
    <cacheHierarchy uniqueName="[AT_2015].[Verificador Correio]" caption="Verificador Correio" attribute="1" defaultMemberUniqueName="[AT_2015].[Verificador Correio].[All]" allUniqueName="[AT_2015].[Verificador Correio].[All]" dimensionUniqueName="[AT_2015]" displayFolder="" count="0" memberValueDatatype="130" unbalanced="0"/>
    <cacheHierarchy uniqueName="[Measures].[__XL_Count AT_2015]" caption="__XL_Count AT_2015" measure="1" displayFolder="" measureGroup="AT_2015" count="0" hidden="1"/>
    <cacheHierarchy uniqueName="[Measures].[__No measures defined]" caption="__No measures defined" measure="1" displayFolder="" count="0" hidden="1"/>
    <cacheHierarchy uniqueName="[Measures].[Contagem de Nº SAT]" caption="Contagem de Nº SAT" measure="1" displayFolder="" measureGroup="AT_2015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name="AT_2015" uniqueName="[AT_2015]" caption="AT_2015"/>
    <dimension measure="1" name="Measures" uniqueName="[Measures]" caption="Measures"/>
  </dimensions>
  <measureGroups count="1">
    <measureGroup name="AT_2015" caption="AT_2015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Carlos Pinto da Silva" refreshedDate="46008.387968981478" createdVersion="8" refreshedVersion="8" minRefreshableVersion="3" recordCount="121" xr:uid="{00000000-000A-0000-FFFF-FFFF01000000}">
  <cacheSource type="worksheet">
    <worksheetSource name="AT_2015"/>
  </cacheSource>
  <cacheFields count="27">
    <cacheField name="Data " numFmtId="0">
      <sharedItems containsNonDate="0" containsString="0" containsBlank="1"/>
    </cacheField>
    <cacheField name="Mês" numFmtId="49">
      <sharedItems containsNonDate="0" containsString="0" containsBlank="1"/>
    </cacheField>
    <cacheField name="Local" numFmtId="49">
      <sharedItems containsNonDate="0" containsBlank="1" count="78">
        <m/>
        <s v="EMBU-GUAÇU" u="1"/>
        <s v="SÃO PAULO" u="1"/>
        <s v="ITUPEVA" u="1"/>
        <s v="VARZEA PAULISTA" u="1"/>
        <s v="SOROCABA" u="1"/>
        <s v="TABOÃO DA SERRA" u="1"/>
        <s v="COTIA" u="1"/>
        <s v="ATIBAIA" u="1"/>
        <s v="ZONA LESTE" u="1"/>
        <s v="JUNDIAI" u="1"/>
        <s v="SANTO ANDRÉ" u="1"/>
        <s v="BARUERI" u="1"/>
        <s v="ITAPECERICA DA SERRA" u="1"/>
        <s v="OSASCO" u="1"/>
        <s v="EMBU DAS ARTES" u="1"/>
        <s v="SÃO VICENTE" u="1"/>
        <s v="SÃO BERNARDO DO CAMPO" u="1"/>
        <s v="RIO DE JANEIRO" u="1"/>
        <s v="PIEDADE" u="1"/>
        <s v="BRAGANÇA PTA" u="1"/>
        <s v="FRANCISCO MORATO" u="1"/>
        <s v="MAIRINQUE" u="1"/>
        <s v="JARINU" u="1"/>
        <s v="CARAPICUIBA" u="1"/>
        <s v="ITAPEVI" u="1"/>
        <s v="MAUA" u="1"/>
        <s v="EXTREMA" u="1"/>
        <s v="GUARULHOS" u="1"/>
        <s v="CUBATÃO" u="1"/>
        <s v="CAMPINAS" u="1"/>
        <s v="ARAÇARIGUAMA" u="1"/>
        <s v="HORTOLÊNDIA" u="1"/>
        <s v="FLORIANOPOLIS" u="1"/>
        <s v="MAIRIPORÃ" u="1"/>
        <s v="ITATIBA" u="1"/>
        <s v="IBIUNA" u="1"/>
        <s v="MONGAGUA" u="1"/>
        <s v="DIADEMA" u="1"/>
        <s v="MINAS GERAIS" u="1"/>
        <s v="SÃO BERNARDO DO C." u="1"/>
        <s v="VARGEM GRANDE PTA" u="1"/>
        <s v="SALVADOR " u="1"/>
        <s v="BERTIOGA" u="1"/>
        <s v="SANTANA DE PARNAIBA" u="1"/>
        <s v="JUNDIAÍ" u="1"/>
        <s v="CAMPO LIMPO PTA" u="1"/>
        <s v="SÃO ROQUE" u="1"/>
        <s v="MOGI DAS CRUZES" u="1"/>
        <s v="LOUVEIRA" u="1"/>
        <s v="CAPÃO REDONDO" u="1"/>
        <s v="CAIEIRAS" u="1"/>
        <s v="CAPELA DO ALTO" u="1"/>
        <s v="ARAÇOIABA DA SERRA" u="1"/>
        <s v="CAMPO LIMPO" u="1"/>
        <s v="JANDIRA" u="1"/>
        <s v="CHACARA SANTA MARIA" u="1"/>
        <s v="PORTO FELIZ" u="1"/>
        <s v="SÃO JOSÉ DOS CAMPOS" u="1"/>
        <s v="SÃO CAETANO DO SUL" u="1"/>
        <s v="GUARAPIRANGA" u="1"/>
        <s v="CIDADE DUTRA" u="1"/>
        <s v="SUZANO" u="1"/>
        <s v="SAO PAULO" u="1"/>
        <s v="SÃO LOURENÇO DA SERRA" u="1"/>
        <s v="ZONA NORTE" u="1"/>
        <s v="PIRITUBA" u="1"/>
        <s v="REGISTRO" u="1"/>
        <s v="RIBEIRÃO PIRES" u="1"/>
        <s v="SÃO LUIZ" u="1"/>
        <s v="ALTO DA LAPA" u="1"/>
        <s v="JUQUITIBA" u="1"/>
        <s v="SÃO MIGUEL ARCANJO" u="1"/>
        <s v="ELDORADO" u="1"/>
        <s v="ALUMINIO" u="1"/>
        <s v="TATUÍ" u="1"/>
        <s v="SALTO DE PIRAPORA" u="1"/>
        <s v="ITAPEVA" u="1"/>
      </sharedItems>
    </cacheField>
    <cacheField name="Cliente" numFmtId="0">
      <sharedItems containsNonDate="0" containsBlank="1" count="93">
        <m/>
        <s v="SÓ PORTAS E JANELAS" u="1"/>
        <s v="CENTER MEGA" u="1"/>
        <s v="WOGEL" u="1"/>
        <s v="ACY COELHO" u="1"/>
        <s v="BARCELONA" u="1"/>
        <s v="TAITI" u="1"/>
        <s v="MAURICIO MADEIRAS" u="1"/>
        <s v="CONSTRUFORTE" u="1"/>
        <s v="CASA VERDE" u="1"/>
        <s v="FELIPE DE SOUZA MELO" u="1"/>
        <s v="WEB PORTAS" u="1"/>
        <s v="MERCADO DA REFORMA" u="1"/>
        <s v="MEGA MAX" u="1"/>
        <s v="PRIMOS" u="1"/>
        <s v="BRISA" u="1"/>
        <s v="JOSANE" u="1"/>
        <s v="ALFA" u="1"/>
        <s v="VIMAX" u="1"/>
        <s v="BASTOS" u="1"/>
        <s v="ROSEIRA" u="1"/>
        <s v="RAUL SOUZA" u="1"/>
        <s v="FRANZANA" u="1"/>
        <s v="MADEIRA MADEIRA" u="1"/>
        <s v="JIMENEZ" u="1"/>
        <s v="DELAR" u="1"/>
        <s v="HELPA LAUZANE" u="1"/>
        <s v="SHOPPING DAS ESQUADRIAS" u="1"/>
        <s v="VESPA" u="1"/>
        <s v="TORRES CABRAL" u="1"/>
        <s v="KAWAFER" u="1"/>
        <s v="ROSANGELA" u="1"/>
        <s v="ALLO" u="1"/>
        <s v="ANGELO PAIOTI" u="1"/>
        <s v="BASICOM" u="1"/>
        <s v="ADRIANA PINHEIRO" u="1"/>
        <s v="MIHARA" u="1"/>
        <s v="FP PONTES" u="1"/>
        <s v="DAHOUK" u="1"/>
        <s v="CENTER TATTO" u="1"/>
        <s v="KPR" u="1"/>
        <s v="BERGAMINI" u="1"/>
        <s v="BR BESSON" u="1"/>
        <s v="SÃO SEBASTIÃO" u="1"/>
        <s v="CASA FERNANDES" u="1"/>
        <s v="SAMARINO" u="1"/>
        <s v="MADEIRA - MADEIRA" u="1"/>
        <s v="NOVA BERTIOGA" u="1"/>
        <s v="ACACIA" u="1"/>
        <s v="HAME" u="1"/>
        <s v="ERICKSON" u="1"/>
        <s v="CENTER SUL" u="1"/>
        <s v="ANGELO PAIOTTI" u="1"/>
        <s v="CONSTRUFAZIO" u="1"/>
        <s v="R2R" u="1"/>
        <s v="POTIGUAR" u="1"/>
        <s v="VANICE" u="1"/>
        <s v="CONSTRUALVIM" u="1"/>
        <s v="MADEIRA VIVA" u="1"/>
        <s v="PIRES PEDROSO" u="1"/>
        <s v="NOSSA SENHORA" u="1"/>
        <s v="ELENICE" u="1"/>
        <s v="GEROSINA" u="1"/>
        <s v="FORNECEDORA TULIPAS" u="1"/>
        <s v="FRANSUL" u="1"/>
        <s v="NC" u="1"/>
        <s v="CAETANO" u="1"/>
        <s v="CONIBASE" u="1"/>
        <s v="INCABLOCO" u="1"/>
        <s v="ANELI" u="1"/>
        <s v="SAFRA" u="1"/>
        <s v="VALLE ESQUADRIAS" u="1"/>
        <s v="CARIGNANO" u="1"/>
        <s v="JGL" u="1"/>
        <s v="CASA MARÉ" u="1"/>
        <s v="ANCHIETA" u="1"/>
        <s v="FP" u="1"/>
        <s v="FINESTRA" u="1"/>
        <s v="SINCERO" u="1"/>
        <s v="GEORGE FROIS" u="1"/>
        <s v="MARCIO FERNANDO" u="1"/>
        <s v="CASA SUL" u="1"/>
        <s v="RAMOS" u="1"/>
        <s v="RM MADEIRAS" u="1"/>
        <s v="CASA NOVA" u="1"/>
        <s v="HUGO HESS" u="1"/>
        <s v="FIDELINO OLIVEIRA" u="1"/>
        <s v="FRANCIELI VENÇONI" u="1"/>
        <s v="CIA DO ALUMINIO" u="1"/>
        <s v="CENTER GODINHO" u="1"/>
        <s v="CAETANO TATUÍ" u="1"/>
        <s v="DEISE CASA NOVA" u="1"/>
        <s v="SÃO MARTINHO" u="1"/>
      </sharedItems>
    </cacheField>
    <cacheField name="Nº SAT" numFmtId="171">
      <sharedItems containsNonDate="0" containsString="0" containsBlank="1"/>
    </cacheField>
    <cacheField name="Consumidor" numFmtId="0">
      <sharedItems containsNonDate="0" containsString="0" containsBlank="1"/>
    </cacheField>
    <cacheField name="Qtd" numFmtId="1">
      <sharedItems containsNonDate="0" containsString="0" containsBlank="1"/>
    </cacheField>
    <cacheField name="Produto" numFmtId="1">
      <sharedItems containsNonDate="0" containsBlank="1" count="5">
        <m/>
        <s v="Porta" u="1"/>
        <s v="Fechadura" u="1"/>
        <s v="Batente" u="1"/>
        <s v="Puxador" u="1"/>
      </sharedItems>
    </cacheField>
    <cacheField name="Descrição do Produto" numFmtId="0">
      <sharedItems containsNonDate="0" containsBlank="1" count="110">
        <m/>
        <s v="FL.P.L.ANGELIM 210X082" u="1"/>
        <s v="FL.P.L.PRIMER 210X082" u="1"/>
        <s v="FECHADURA EXTERNA MODENA" u="1"/>
        <s v="FL.P.SPAZIO ECO. 210X082" u="1"/>
        <s v="FL.P.BELISSIMA PR.IMBUIA 210X082" u="1"/>
        <s v="FL.P.L.IMBUIA 210X092" u="1"/>
        <s v="FECHADURA BANHEIRO MODENA" u="1"/>
        <s v="FL.P.L.PRIMER 210X062" u="1"/>
        <s v="BATENTE MISTO 14" u="1"/>
        <s v="FL.P.TORNEADA 10a EUCALPITO 210X082" u="1"/>
        <s v="FL.P.VIENA PR.IMBUIA 210X082" u="1"/>
        <s v="BATENTE ECO.PRIMER 3,0X18" u="1"/>
        <s v="FL.P.L.IMBUIA 210X082" u="1"/>
        <s v="FL.P.TORNEADA 10a ECO.210x082" u="1"/>
        <s v="FL.P.BELISSIMA PRIMER 210X082" u="1"/>
        <s v="FECHADURA EXTERNA TACO DE GOLF" u="1"/>
        <s v="KIT TRILHO CAMARÃO " u="1"/>
        <s v="FL.P.L.AMESCLA/PINUS 210X082" u="1"/>
        <s v="BATENTE ECO.PR.IMBUIA 3,0X16" u="1"/>
        <s v="FL.P.L.CAMARÃO PR.IMBUIA 210X082" u="1"/>
        <s v="FECHADURA INTERNA CROMADA" u="1"/>
        <s v="PUXADOR RETO DE 60CM" u="1"/>
        <s v="FL.P.BELISSMA PR.IMBUIA 210X082" u="1"/>
        <s v="FL.P.ENTRADA ECO. 210X082" u="1"/>
        <s v="FL.P.EKOS 210X102" u="1"/>
        <s v="P.PIRAMIDAL MISTA 210X082" u="1"/>
        <s v="TRILHO CAMARÃO" u="1"/>
        <s v="FL.P.L.PRIMER 210X070" u="1"/>
        <s v="P.CAMARÃO PRIMER 210X082" u="1"/>
        <s v="FL.P.CAMARÃO PRIMER 210X082" u="1"/>
        <s v="FECHADURA INTERNA NAVAS" u="1"/>
        <s v="FECHADURA INTERNA MODENA" u="1"/>
        <s v="FECHADURA EXTERNA RAFINATA" u="1"/>
        <s v="FECHADURA EXTERNA NAVAS" u="1"/>
        <s v="FL.P.BBB CEDRO 210X082" u="1"/>
        <s v="FL.P.L.PR.IMBUIA 210X072" u="1"/>
        <s v="FECHADURA INTERNA RAFINATA" u="1"/>
        <s v="FECHADURA BANHEIRO RAFINATA" u="1"/>
        <s v="FL.ATENAS ANGELIM 210X082" u="1"/>
        <s v="FL.P.PIRÂMIDAL 210X082" u="1"/>
        <s v="DIVERSOS" u="1"/>
        <s v="FL.P.BELISSIMA PRIMER 210X072" u="1"/>
        <s v="P.CAMARÃO PR.IMBUIA 210X082" u="1"/>
        <s v="FL.P.BELI 4 PR.IMBUIA 210X082" u="1"/>
        <s v="FL.TORNEADA ECO. 10ALM 210X082" u="1"/>
        <s v="P.PIV.BELISSIMA PR.IMB. 210X102" u="1"/>
        <s v="P.CAMARÃO PRIMER 210X072" u="1"/>
        <s v="P.L.PRIMER CORRER 210X072" u="1"/>
        <s v="FL.P.TORNEADA 10 ALM ECO 210X082" u="1"/>
        <s v="FL.P. CAMARÃ FLORENÇA 210X062" u="1"/>
        <s v="P.L.CAMARÃO AMESCLA 210X072" u="1"/>
        <s v="P.BELISSIMA PR.IMBUIA 210X082" u="1"/>
        <s v="P.CALHA 210X070" u="1"/>
        <s v="P.CAMARÃO AMESCLA 210X072" u="1"/>
        <s v="P.TORNEADA ECO. 10a 210X082" u="1"/>
        <s v="FECHADURA ASA DE AVIÃO" u="1"/>
        <s v="P.BELI 4 PR. IMBUIA 210X082" u="1"/>
        <s v="P.BELI 4 PR.IMBUIA 210X082" u="1"/>
        <s v="P.BELI 4 PR.IMBUIA 210X072" u="1"/>
        <s v="P.L.PR.IMBUIA 210X072" u="1"/>
        <s v="BATENTE ECO.PR.IMBUIA" u="1"/>
        <s v="P.BELISSIMA PR.IMBUIA 210X072" u="1"/>
        <s v="DIVERSAS" u="1"/>
        <s v="FECHADURA MODENA BANHEIRO" u="1"/>
        <s v="P.L.AMECLA/PINUS 210X080" u="1"/>
        <s v="PINO PIVOTANTE" u="1"/>
        <s v="FECHADURA MODENA BANHEIRO/ FECHADURA EXTERNA MODENA" u="1"/>
        <s v="P.BBB 210X082" u="1"/>
        <s v="P.L.PRIMER 210X062" u="1"/>
        <s v="P.FLORENÇA PR.IMBUIA CORRER 210X082" u="1"/>
        <s v="P.VENEZIANA DE CORRER 6 FOLHAS" u="1"/>
        <s v="P.PIV.EKOS 210X102" u="1"/>
        <s v="P.MILANO PRIMER 210X092" u="1"/>
        <s v="BBB EUCALPTO 210X082" u="1"/>
        <s v="P.EKOS ECO. 210X082" u="1"/>
        <s v="LINGUETA QUEBRADA" u="1"/>
        <s v="FECHADURA CALHA" u="1"/>
        <s v="FECHADURA BANHEIRO NAVAS" u="1"/>
        <s v="PORTAS PRIMER " u="1"/>
        <s v="P.SPAZIO ECO.210X082" u="1"/>
        <s v="P.CAMARÃO AMESCLA 210X082" u="1"/>
        <s v="P.CAMARÃO BELI 4 PR.IMB.210X082" u="1"/>
        <s v="P.CAMARÃO BELI 4 PR.IMB.210X072" u="1"/>
        <s v="P.CAMARÃO AMESCLA 210X062" u="1"/>
        <s v="FL.P.BELISSIMA PR.IMBUIA 210X072" u="1"/>
        <s v="P.CAMARÃO IMBUIA 210X082" u="1"/>
        <s v="FECHADURA BANHEIRO TACO DE GOLF" u="1"/>
        <s v="FL.P.TORNEADA ECO. 210X082" u="1"/>
        <s v="FL.P.SPAZIO ECO.210X082" u="1"/>
        <s v="P.ESMERALDA ECO.210X082" u="1"/>
        <s v="FL.P.TORNEADA ECO 10a. 210X082" u="1"/>
        <s v="P.IMBUIA 210X082" u="1"/>
        <s v="P.IMBUIA 210X072" u="1"/>
        <s v="FL.P.L.AMESCLA/PINUS 210X072" u="1"/>
        <s v="P.CAMPONESA ECO.210X082" u="1"/>
        <s v="P.PR.IMBUIA 210X080 / 210X060" u="1"/>
        <s v="P.ATENAS PRIMER" u="1"/>
        <s v="P.MILANO PRIMER CORRE 210X082" u="1"/>
        <s v="P.PR.IMBUIA 210X082" u="1"/>
        <s v="P.L.AMESCLA/PINUS 210X060" u="1"/>
        <s v="P.AMERICANA MISTA 210X080" u="1"/>
        <s v="P.CRISTAL PR.IMB. 210X082" u="1"/>
        <s v="P.VIENA PR.IMBUIA 210X082" u="1"/>
        <s v="P.PIVOTANTE BELISSIMA PR.IMBUIA 210X102" u="1"/>
        <s v="P.AMERICANA MISTA 210X082" u="1"/>
        <s v="P.L.PR.IMBUIA 210X082" u="1"/>
        <s v="GUIA DA PORTA DE CORRER" u="1"/>
        <s v="P.L.AMESCLA/PINUS 210X082" u="1"/>
        <s v="FECHADURA INTERNA CROMADA - D" u="1"/>
      </sharedItems>
    </cacheField>
    <cacheField name="Fornecedor" numFmtId="0">
      <sharedItems containsNonDate="0" containsBlank="1" count="18">
        <m/>
        <s v="POLTRONIERI" u="1"/>
        <s v="ALAMO" u="1"/>
        <s v="MGM" u="1"/>
        <s v="IMPEL" u="1"/>
        <s v="ARLIZ" u="1"/>
        <s v="RIVA" u="1"/>
        <s v="NAVAS" u="1"/>
        <s v="PRESOTTO" u="1"/>
        <s v="SANCHES" u="1"/>
        <s v="UNIPORTAS" u="1"/>
        <s v="RODEIO" u="1"/>
        <s v="STAM" u="1"/>
        <s v="CAMOMIL" u="1"/>
        <s v="WILLIAM SHULL" u="1"/>
        <s v="IRMÃS NAVAS" u="1"/>
        <s v="DALCOMADE " u="1"/>
        <s v="GN - MADEIRAS" u="1"/>
      </sharedItems>
    </cacheField>
    <cacheField name="Problema" numFmtId="0">
      <sharedItems containsNonDate="0" containsBlank="1" count="9">
        <m/>
        <s v="Bolhas" u="1"/>
        <s v="Instalação" u="1"/>
        <s v="Fabricação" u="1"/>
        <s v="Montagem" u="1"/>
        <s v="Empenamento" u="1"/>
        <s v="Trilhos" u="1"/>
        <s v="Montante" u="1"/>
        <s v="Cupim" u="1"/>
      </sharedItems>
    </cacheField>
    <cacheField name="Responsável" numFmtId="0">
      <sharedItems containsNonDate="0" containsString="0" containsBlank="1"/>
    </cacheField>
    <cacheField name="Defeito informado pelo cliente" numFmtId="0">
      <sharedItems containsNonDate="0" containsString="0" containsBlank="1"/>
    </cacheField>
    <cacheField name="Defeito constatado pelo técnico" numFmtId="0">
      <sharedItems containsNonDate="0" containsString="0" containsBlank="1"/>
    </cacheField>
    <cacheField name="Troca" numFmtId="0">
      <sharedItems containsNonDate="0" containsString="0" containsBlank="1"/>
    </cacheField>
    <cacheField name="Serviço executado pelo técnico" numFmtId="0">
      <sharedItems containsNonDate="0" containsBlank="1" count="41">
        <m/>
        <s v="FEITO A TROCA" u="1"/>
        <s v="FEITO O AJUSTE" u="1"/>
        <s v="FEITO O REAJUSTE" u="1"/>
        <s v="FEITO A REDUÇÃO DE 1 CM EM 16 JOGOS" u="1"/>
        <s v="CLIENTE NÃO ACEITO O AJUSTE NA MESMA FOLHA" u="1"/>
        <s v="FEITO A TROCA DA FOLHA E MECANISMO DA FECHADURA" u="1"/>
        <s v="FEITO O ENVIO VIA SEDEX" u="1"/>
        <s v="CONSUMIDORA OPTOU PELO RESSARCIMENTO DO VALOR" u="1"/>
        <s v="FEITO O AJUSTE NA FECHADURA" u="1"/>
        <s v="FEITO O RECOLHIMENTO DA PORTA" u="1"/>
        <s v="FEITO A PINTURA DAS FOLHAS" u="1"/>
        <s v="FEITO O CONSERTO " u="1"/>
        <s v="FEITO A VISTORIA" u="1"/>
        <s v="FEITO A COLETA DE 24 PORTAS PRIMERS" u="1"/>
        <s v="FEITO A INVERSÃO DE LADO" u="1"/>
        <s v="FEITO A TROCA POR UMA SPAZIO E PAGO A DIFERENÇA" u="1"/>
        <s v="FEITO O AJUSTE E COLOCADO O PINO" u="1"/>
        <s v="CORREIO" u="1"/>
        <s v="VISTORIA" u="1"/>
        <s v="FEITO A ANÁLISE" u="1"/>
        <s v="FEITO O REAJUSTE E O CONSERTO DO BT" u="1"/>
        <s v="FEITO O REAJUSTE DAS 16 FECHADURAS" u="1"/>
        <s v="FEITO A TROCA DA PORTA POR COMPLETO" u="1"/>
        <s v="FEITO ENVIO VIA SEDEX" u="1"/>
        <s v="FEITO A COLOCAÇÃO DAS BORRACHAS" u="1"/>
        <s v="FEITO O CONSERTO" u="1"/>
        <s v="FEITO A TROCA DA FOLHA E DA FECH." u="1"/>
        <s v="FEITO A TROCA DO MECANISMO E CILINDRO" u="1"/>
        <s v="COLOCADO 1 PX E  FEITO 3 AJUSTES" u="1"/>
        <s v="FETO ENVIO VIA SEDEX" u="1"/>
        <s v="FEITO ENVIO VIA SEDEX SOMENTE DAS CHAVES" u="1"/>
        <s v="FEITO AJUSTE" u="1"/>
        <s v="FEITO A TROCA " u="1"/>
        <s v="FEITO O AJUSTE EM 38 PORTAS" u="1"/>
        <s v="FEITO A TROCA POR UMA IMBUIA" u="1"/>
        <s v="CHAVES CORRETAS ENVIADAS VIA SEDEX" u="1"/>
        <s v="FEITO O REAJUSTE DAS 16 PORTAS" u="1"/>
        <s v="FEITA A TROCA " u="1"/>
        <s v="DIPONIBILIZADA REPOSIÇÃO DO PRODUTO " u="1"/>
        <s v="FEITA A VISTORIA " u="1"/>
      </sharedItems>
    </cacheField>
    <cacheField name="Código do Produto" numFmtId="49">
      <sharedItems containsNonDate="0" containsString="0" containsBlank="1"/>
    </cacheField>
    <cacheField name="Solicitar Reposição" numFmtId="0">
      <sharedItems containsNonDate="0" containsBlank="1" count="3">
        <m/>
        <s v="Não" u="1"/>
        <s v="Sim" u="1"/>
      </sharedItems>
    </cacheField>
    <cacheField name="Mão de obra" numFmtId="44">
      <sharedItems containsNonDate="0" containsString="0" containsBlank="1"/>
    </cacheField>
    <cacheField name="Deslocamento" numFmtId="44">
      <sharedItems containsNonDate="0" containsString="0" containsBlank="1"/>
    </cacheField>
    <cacheField name="Correio" numFmtId="44">
      <sharedItems containsNonDate="0" containsString="0" containsBlank="1"/>
    </cacheField>
    <cacheField name="Pedágio" numFmtId="44">
      <sharedItems containsNonDate="0" containsString="0" containsBlank="1"/>
    </cacheField>
    <cacheField name="Outros" numFmtId="44">
      <sharedItems containsNonDate="0" containsString="0" containsBlank="1"/>
    </cacheField>
    <cacheField name="Custo Total " numFmtId="44">
      <sharedItems containsSemiMixedTypes="0" containsString="0" containsNumber="1" containsInteger="1" minValue="0" maxValue="0"/>
    </cacheField>
    <cacheField name="Observações" numFmtId="0">
      <sharedItems containsBlank="1"/>
    </cacheField>
    <cacheField name="Verificador " numFmtId="0">
      <sharedItems containsSemiMixedTypes="0" containsString="0" containsNumber="1" containsInteger="1" minValue="0" maxValue="2" count="3">
        <n v="0"/>
        <n v="1" u="1"/>
        <n v="2" u="1"/>
      </sharedItems>
    </cacheField>
    <cacheField name="Verificador Correio" numFmtId="0">
      <sharedItems containsMixedTypes="1" containsNumber="1" containsInteger="1" minValue="0" maxValue="1" count="3">
        <s v="não"/>
        <n v="0" u="1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Carlos Pinto da Silva" refreshedDate="46008.387969328702" createdVersion="8" refreshedVersion="8" minRefreshableVersion="3" recordCount="12" xr:uid="{00000000-000A-0000-FFFF-FFFF03000000}">
  <cacheSource type="worksheet">
    <worksheetSource name="Tabela4"/>
  </cacheSource>
  <cacheFields count="30">
    <cacheField name="2024" numFmtId="167">
      <sharedItems containsSemiMixedTypes="0" containsNonDate="0" containsDate="1" containsString="0" minDate="2024-01-01T00:00:00" maxDate="2025-12-02T00:00:00" count="24"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4-01-01T00:00:00" u="1"/>
        <d v="2024-02-01T00:00:00" u="1"/>
        <d v="2024-03-01T00:00:00" u="1"/>
        <d v="2024-04-01T00:00:00" u="1"/>
        <d v="2024-05-01T00:00:00" u="1"/>
        <d v="2024-06-01T00:00:00" u="1"/>
        <d v="2024-07-01T00:00:00" u="1"/>
        <d v="2024-08-01T00:00:00" u="1"/>
        <d v="2024-09-01T00:00:00" u="1"/>
        <d v="2024-10-01T00:00:00" u="1"/>
        <d v="2024-11-01T00:00:00" u="1"/>
        <d v="2024-12-01T00:00:00" u="1"/>
      </sharedItems>
      <fieldGroup par="29"/>
    </cacheField>
    <cacheField name="ARLIZ" numFmtId="44">
      <sharedItems containsSemiMixedTypes="0" containsString="0" containsNumber="1" containsInteger="1" minValue="0" maxValue="0"/>
    </cacheField>
    <cacheField name="CAMOMIL " numFmtId="44">
      <sharedItems containsSemiMixedTypes="0" containsString="0" containsNumber="1" containsInteger="1" minValue="0" maxValue="0"/>
    </cacheField>
    <cacheField name="COMPANY" numFmtId="44">
      <sharedItems containsSemiMixedTypes="0" containsString="0" containsNumber="1" containsInteger="1" minValue="0" maxValue="0"/>
    </cacheField>
    <cacheField name="DALCOMADE" numFmtId="44">
      <sharedItems containsSemiMixedTypes="0" containsString="0" containsNumber="1" containsInteger="1" minValue="0" maxValue="0"/>
    </cacheField>
    <cacheField name="EUCATEX" numFmtId="44">
      <sharedItems containsSemiMixedTypes="0" containsString="0" containsNumber="1" containsInteger="1" minValue="0" maxValue="0"/>
    </cacheField>
    <cacheField name="GN-MADEIRAS" numFmtId="44">
      <sharedItems containsSemiMixedTypes="0" containsString="0" containsNumber="1" containsInteger="1" minValue="0" maxValue="0"/>
    </cacheField>
    <cacheField name="IDEAL" numFmtId="44">
      <sharedItems containsSemiMixedTypes="0" containsString="0" containsNumber="1" containsInteger="1" minValue="0" maxValue="0"/>
    </cacheField>
    <cacheField name="IRMÃS NAVAS" numFmtId="44">
      <sharedItems containsSemiMixedTypes="0" containsString="0" containsNumber="1" containsInteger="1" minValue="0" maxValue="0"/>
    </cacheField>
    <cacheField name="IMPEL" numFmtId="44">
      <sharedItems containsSemiMixedTypes="0" containsString="0" containsNumber="1" containsInteger="1" minValue="0" maxValue="0"/>
    </cacheField>
    <cacheField name="RODEIO" numFmtId="44">
      <sharedItems containsSemiMixedTypes="0" containsString="0" containsNumber="1" containsInteger="1" minValue="0" maxValue="0"/>
    </cacheField>
    <cacheField name="SUL PORTAS" numFmtId="44">
      <sharedItems containsSemiMixedTypes="0" containsString="0" containsNumber="1" containsInteger="1" minValue="0" maxValue="0"/>
    </cacheField>
    <cacheField name="MAD CASTOR" numFmtId="44">
      <sharedItems containsSemiMixedTypes="0" containsString="0" containsNumber="1" containsInteger="1" minValue="0" maxValue="0"/>
    </cacheField>
    <cacheField name="WILLIAM SHULL" numFmtId="44">
      <sharedItems containsSemiMixedTypes="0" containsString="0" containsNumber="1" containsInteger="1" minValue="0" maxValue="0"/>
    </cacheField>
    <cacheField name="MGM" numFmtId="44">
      <sharedItems containsSemiMixedTypes="0" containsString="0" containsNumber="1" containsInteger="1" minValue="0" maxValue="0"/>
    </cacheField>
    <cacheField name="NAVAS" numFmtId="44">
      <sharedItems containsSemiMixedTypes="0" containsString="0" containsNumber="1" containsInteger="1" minValue="0" maxValue="0"/>
    </cacheField>
    <cacheField name="OJ CHUANTS " numFmtId="44">
      <sharedItems containsSemiMixedTypes="0" containsString="0" containsNumber="1" containsInteger="1" minValue="0" maxValue="0"/>
    </cacheField>
    <cacheField name="PIANCE" numFmtId="44">
      <sharedItems containsSemiMixedTypes="0" containsString="0" containsNumber="1" containsInteger="1" minValue="0" maxValue="0"/>
    </cacheField>
    <cacheField name="POLTRONIERI" numFmtId="44">
      <sharedItems containsSemiMixedTypes="0" containsString="0" containsNumber="1" containsInteger="1" minValue="0" maxValue="0"/>
    </cacheField>
    <cacheField name="PORTO UNIÃO " numFmtId="44">
      <sharedItems containsSemiMixedTypes="0" containsString="0" containsNumber="1" containsInteger="1" minValue="0" maxValue="0"/>
    </cacheField>
    <cacheField name="PRESOTTO" numFmtId="44">
      <sharedItems containsSemiMixedTypes="0" containsString="0" containsNumber="1" containsInteger="1" minValue="0" maxValue="0"/>
    </cacheField>
    <cacheField name="RIVA" numFmtId="44">
      <sharedItems containsSemiMixedTypes="0" containsString="0" containsNumber="1" containsInteger="1" minValue="0" maxValue="0"/>
    </cacheField>
    <cacheField name="SANCHES" numFmtId="44">
      <sharedItems containsSemiMixedTypes="0" containsString="0" containsNumber="1" containsInteger="1" minValue="0" maxValue="0"/>
    </cacheField>
    <cacheField name="STAM" numFmtId="44">
      <sharedItems containsSemiMixedTypes="0" containsString="0" containsNumber="1" containsInteger="1" minValue="0" maxValue="0"/>
    </cacheField>
    <cacheField name="JJ BATENTES" numFmtId="44">
      <sharedItems containsSemiMixedTypes="0" containsString="0" containsNumber="1" containsInteger="1" minValue="0" maxValue="0"/>
    </cacheField>
    <cacheField name="ALAMO" numFmtId="44">
      <sharedItems containsSemiMixedTypes="0" containsString="0" containsNumber="1" containsInteger="1" minValue="0" maxValue="0"/>
    </cacheField>
    <cacheField name="ALUMINIO 2A" numFmtId="44">
      <sharedItems containsSemiMixedTypes="0" containsString="0" containsNumber="1" containsInteger="1" minValue="0" maxValue="0"/>
    </cacheField>
    <cacheField name="UNIPORTAS" numFmtId="44">
      <sharedItems containsSemiMixedTypes="0" containsString="0" containsNumber="1" containsInteger="1" minValue="0" maxValue="0"/>
    </cacheField>
    <cacheField name="Dias (2024)" numFmtId="0" databaseField="0">
      <fieldGroup base="0">
        <rangePr groupBy="days" startDate="2025-01-01T00:00:00" endDate="2025-12-02T00:00:00"/>
        <groupItems count="368">
          <s v="&lt;01/01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2/2025"/>
        </groupItems>
      </fieldGroup>
    </cacheField>
    <cacheField name="Meses (2024)" numFmtId="0" databaseField="0">
      <fieldGroup base="0">
        <rangePr groupBy="months" startDate="2025-01-01T00:00:00" endDate="2025-12-02T00:00:00"/>
        <groupItems count="14">
          <s v="&lt;01/01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Carlos Pinto da Silva" refreshedDate="46008.387969328702" createdVersion="8" refreshedVersion="8" minRefreshableVersion="3" recordCount="121" xr:uid="{00000000-000A-0000-FFFF-FFFF02000000}">
  <cacheSource type="worksheet">
    <worksheetSource name="AT_2015"/>
  </cacheSource>
  <cacheFields count="27">
    <cacheField name="Data " numFmtId="0">
      <sharedItems containsNonDate="0" containsString="0" containsBlank="1"/>
    </cacheField>
    <cacheField name="Mês" numFmtId="49">
      <sharedItems containsNonDate="0" containsString="0" containsBlank="1"/>
    </cacheField>
    <cacheField name="Local" numFmtId="49">
      <sharedItems containsNonDate="0" containsString="0" containsBlank="1"/>
    </cacheField>
    <cacheField name="Cliente" numFmtId="0">
      <sharedItems containsNonDate="0" containsString="0" containsBlank="1"/>
    </cacheField>
    <cacheField name="Nº SAT" numFmtId="171">
      <sharedItems containsNonDate="0" containsString="0" containsBlank="1"/>
    </cacheField>
    <cacheField name="Consumidor" numFmtId="0">
      <sharedItems containsNonDate="0" containsString="0" containsBlank="1"/>
    </cacheField>
    <cacheField name="Qtd" numFmtId="1">
      <sharedItems containsNonDate="0" containsString="0" containsBlank="1"/>
    </cacheField>
    <cacheField name="Produto" numFmtId="1">
      <sharedItems containsNonDate="0" containsString="0" containsBlank="1"/>
    </cacheField>
    <cacheField name="Descrição do Produto" numFmtId="0">
      <sharedItems containsNonDate="0" containsString="0" containsBlank="1"/>
    </cacheField>
    <cacheField name="Fornecedor" numFmtId="0">
      <sharedItems containsNonDate="0" containsString="0" containsBlank="1"/>
    </cacheField>
    <cacheField name="Problema" numFmtId="0">
      <sharedItems containsNonDate="0" containsString="0" containsBlank="1"/>
    </cacheField>
    <cacheField name="Responsável" numFmtId="0">
      <sharedItems containsNonDate="0" containsBlank="1" count="4">
        <m/>
        <s v="Fornecedor" u="1"/>
        <s v="Consumidor" u="1"/>
        <s v="Uniportas" u="1"/>
      </sharedItems>
    </cacheField>
    <cacheField name="Defeito informado pelo cliente" numFmtId="0">
      <sharedItems containsNonDate="0" containsString="0" containsBlank="1"/>
    </cacheField>
    <cacheField name="Defeito constatado pelo técnico" numFmtId="0">
      <sharedItems containsNonDate="0" containsString="0" containsBlank="1"/>
    </cacheField>
    <cacheField name="Troca" numFmtId="0">
      <sharedItems containsNonDate="0" containsString="0" containsBlank="1"/>
    </cacheField>
    <cacheField name="Serviço executado pelo técnico" numFmtId="0">
      <sharedItems containsNonDate="0" containsString="0" containsBlank="1"/>
    </cacheField>
    <cacheField name="Código do Produto" numFmtId="49">
      <sharedItems containsNonDate="0" containsString="0" containsBlank="1"/>
    </cacheField>
    <cacheField name="Solicitar Reposição" numFmtId="0">
      <sharedItems containsNonDate="0" containsString="0" containsBlank="1"/>
    </cacheField>
    <cacheField name="Mão de obra" numFmtId="44">
      <sharedItems containsNonDate="0" containsString="0" containsBlank="1"/>
    </cacheField>
    <cacheField name="Deslocamento" numFmtId="44">
      <sharedItems containsNonDate="0" containsString="0" containsBlank="1"/>
    </cacheField>
    <cacheField name="Correio" numFmtId="44">
      <sharedItems containsNonDate="0" containsString="0" containsBlank="1"/>
    </cacheField>
    <cacheField name="Pedágio" numFmtId="44">
      <sharedItems containsNonDate="0" containsString="0" containsBlank="1"/>
    </cacheField>
    <cacheField name="Outros" numFmtId="44">
      <sharedItems containsNonDate="0" containsString="0" containsBlank="1"/>
    </cacheField>
    <cacheField name="Custo Total " numFmtId="44">
      <sharedItems containsSemiMixedTypes="0" containsString="0" containsNumber="1" containsInteger="1" minValue="0" maxValue="0"/>
    </cacheField>
    <cacheField name="Observações" numFmtId="0">
      <sharedItems containsBlank="1"/>
    </cacheField>
    <cacheField name="Verificador " numFmtId="0">
      <sharedItems containsSemiMixedTypes="0" containsString="0" containsNumber="1" containsInteger="1" minValue="0" maxValue="0"/>
    </cacheField>
    <cacheField name="Verificador Correi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s v="MMC COMPANY"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s v="MENACO MADEIRA"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  <r>
    <m/>
    <m/>
    <x v="0"/>
    <x v="0"/>
    <m/>
    <m/>
    <m/>
    <x v="0"/>
    <x v="0"/>
    <x v="0"/>
    <x v="0"/>
    <m/>
    <m/>
    <m/>
    <m/>
    <x v="0"/>
    <m/>
    <x v="0"/>
    <m/>
    <m/>
    <m/>
    <m/>
    <m/>
    <n v="0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s v="MMC COMPANY"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s v="MENACO MADEIRA"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  <r>
    <m/>
    <m/>
    <m/>
    <m/>
    <m/>
    <m/>
    <m/>
    <m/>
    <m/>
    <m/>
    <m/>
    <x v="0"/>
    <m/>
    <m/>
    <m/>
    <m/>
    <m/>
    <m/>
    <m/>
    <m/>
    <m/>
    <m/>
    <m/>
    <n v="0"/>
    <m/>
    <n v="0"/>
    <s v="nã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4" cacheId="103" applyNumberFormats="0" applyBorderFormats="0" applyFontFormats="0" applyPatternFormats="0" applyAlignmentFormats="0" applyWidthHeightFormats="1" dataCaption="Valores" tag="bb759404-a5b9-408f-9dcb-3a506952ea56" updatedVersion="8" minRefreshableVersion="3" useAutoFormatting="1" subtotalHiddenItems="1" itemPrintTitles="1" createdVersion="8" indent="0" outline="1" outlineData="1" multipleFieldFilters="0" chartFormat="12">
  <location ref="A3:B3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dataFields count="1">
    <dataField name="Contagem de Nº SAT" fld="1" subtotal="count" baseField="0" baseItem="0"/>
  </dataFields>
  <chartFormats count="8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9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9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Novo(a) Planilha do Microsoft Excel.xlsx!AT_2015">
        <x15:activeTabTopLevelEntity name="[AT_2015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5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3:B4" firstHeaderRow="1" firstDataRow="1" firstDataCol="1"/>
  <pivotFields count="27">
    <pivotField showAll="0"/>
    <pivotField showAll="0"/>
    <pivotField showAll="0"/>
    <pivotField showAll="0"/>
    <pivotField dataField="1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2">
        <item m="1" x="39"/>
        <item m="1" x="38"/>
        <item m="1" x="40"/>
        <item m="1" x="12"/>
        <item h="1" x="0"/>
        <item h="1" m="1" x="29"/>
        <item h="1" m="1" x="28"/>
        <item h="1" m="1" x="27"/>
        <item h="1" m="1" x="1"/>
        <item h="1" m="1" x="7"/>
        <item h="1" m="1" x="30"/>
        <item h="1" m="1" x="31"/>
        <item h="1" m="1" x="24"/>
        <item h="1" m="1" x="3"/>
        <item h="1" m="1" x="23"/>
        <item h="1" m="1" x="13"/>
        <item h="1" m="1" x="25"/>
        <item h="1" m="1" x="18"/>
        <item h="1" m="1" x="19"/>
        <item h="1" m="1" x="20"/>
        <item h="1" m="1" x="21"/>
        <item h="1" m="1" x="37"/>
        <item h="1" m="1" x="32"/>
        <item h="1" m="1" x="2"/>
        <item h="1" m="1" x="33"/>
        <item h="1" m="1" x="34"/>
        <item h="1" m="1" x="26"/>
        <item h="1" m="1" x="35"/>
        <item h="1" m="1" x="36"/>
        <item h="1" m="1" x="22"/>
        <item h="1" m="1" x="4"/>
        <item h="1" m="1" x="5"/>
        <item h="1" m="1" x="6"/>
        <item h="1" m="1" x="8"/>
        <item h="1" m="1" x="9"/>
        <item h="1" m="1" x="10"/>
        <item h="1" m="1" x="11"/>
        <item h="1" m="1" x="14"/>
        <item h="1" m="1" x="15"/>
        <item h="1" m="1" x="16"/>
        <item h="1" m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</pivotFields>
  <rowFields count="1">
    <field x="15"/>
  </rowFields>
  <rowItems count="1">
    <i t="grand">
      <x/>
    </i>
  </rowItems>
  <colItems count="1">
    <i/>
  </colItems>
  <dataFields count="1">
    <dataField name="Contagem de Nº SAT" fld="4" subtotal="count" baseField="0" baseItem="0"/>
  </dataFields>
  <chartFormats count="9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2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a dinâmica7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B5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dataField="1" numFmtId="1" showAll="0"/>
    <pivotField showAll="0"/>
    <pivotField showAll="0"/>
    <pivotField showAll="0"/>
    <pivotField axis="axisRow" showAll="0" measureFilter="1">
      <items count="10">
        <item m="1" x="1"/>
        <item m="1" x="8"/>
        <item m="1" x="5"/>
        <item m="1" x="3"/>
        <item m="1" x="2"/>
        <item m="1" x="4"/>
        <item m="1" x="7"/>
        <item m="1" x="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</pivotFields>
  <rowFields count="1">
    <field x="10"/>
  </rowFields>
  <rowItems count="2">
    <i>
      <x v="8"/>
    </i>
    <i t="grand">
      <x/>
    </i>
  </rowItems>
  <colItems count="1">
    <i/>
  </colItems>
  <dataFields count="1">
    <dataField name="Soma de Qtd" fld="6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2" iMeasureFld="0">
      <autoFilter ref="A1">
        <filterColumn colId="0">
          <top10 val="3" filterVal="3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ela dinâmica8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B5" firstHeaderRow="1" firstDataRow="1" firstDataCol="1"/>
  <pivotFields count="27">
    <pivotField showAll="0"/>
    <pivotField showAll="0"/>
    <pivotField axis="axisRow" showAll="0" measureFilter="1">
      <items count="79">
        <item m="1" x="70"/>
        <item m="1" x="74"/>
        <item m="1" x="8"/>
        <item m="1" x="20"/>
        <item m="1" x="30"/>
        <item m="1" x="54"/>
        <item m="1" x="50"/>
        <item m="1" x="56"/>
        <item m="1" x="61"/>
        <item m="1" x="7"/>
        <item m="1" x="38"/>
        <item m="1" x="73"/>
        <item m="1" x="15"/>
        <item m="1" x="60"/>
        <item m="1" x="28"/>
        <item m="1" x="36"/>
        <item m="1" x="13"/>
        <item m="1" x="77"/>
        <item m="1" x="35"/>
        <item m="1" x="55"/>
        <item m="1" x="71"/>
        <item m="1" x="22"/>
        <item m="1" x="39"/>
        <item m="1" x="14"/>
        <item m="1" x="19"/>
        <item m="1" x="66"/>
        <item m="1" x="57"/>
        <item m="1" x="67"/>
        <item m="1" x="68"/>
        <item m="1" x="76"/>
        <item m="1" x="17"/>
        <item m="1" x="59"/>
        <item m="1" x="58"/>
        <item m="1" x="64"/>
        <item m="1" x="69"/>
        <item m="1" x="72"/>
        <item m="1" x="63"/>
        <item m="1" x="2"/>
        <item m="1" x="5"/>
        <item m="1" x="62"/>
        <item m="1" x="6"/>
        <item m="1" x="75"/>
        <item m="1" x="65"/>
        <item x="0"/>
        <item m="1" x="46"/>
        <item m="1" x="9"/>
        <item m="1" x="45"/>
        <item m="1" x="48"/>
        <item m="1" x="34"/>
        <item m="1" x="49"/>
        <item m="1" x="40"/>
        <item m="1" x="12"/>
        <item m="1" x="44"/>
        <item m="1" x="42"/>
        <item m="1" x="41"/>
        <item m="1" x="43"/>
        <item m="1" x="47"/>
        <item m="1" x="4"/>
        <item m="1" x="31"/>
        <item m="1" x="51"/>
        <item m="1" x="25"/>
        <item m="1" x="27"/>
        <item m="1" x="52"/>
        <item m="1" x="53"/>
        <item m="1" x="1"/>
        <item m="1" x="3"/>
        <item m="1" x="10"/>
        <item m="1" x="11"/>
        <item m="1" x="16"/>
        <item m="1" x="18"/>
        <item m="1" x="21"/>
        <item m="1" x="23"/>
        <item m="1" x="24"/>
        <item m="1" x="26"/>
        <item m="1" x="29"/>
        <item m="1" x="32"/>
        <item m="1" x="33"/>
        <item m="1" x="37"/>
        <item t="default"/>
      </items>
    </pivotField>
    <pivotField showAll="0"/>
    <pivotField dataField="1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</pivotFields>
  <rowFields count="1">
    <field x="2"/>
  </rowFields>
  <rowItems count="2">
    <i>
      <x v="43"/>
    </i>
    <i t="grand">
      <x/>
    </i>
  </rowItems>
  <colItems count="1">
    <i/>
  </colItems>
  <dataFields count="1">
    <dataField name="Contagem de Nº SAT" fld="4" subtotal="count" baseField="0" baseItem="0"/>
  </dataFields>
  <chartFormats count="18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5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Tabela dinâmica9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5" firstHeaderRow="1" firstDataRow="1" firstDataCol="1"/>
  <pivotFields count="27">
    <pivotField showAll="0"/>
    <pivotField showAll="0"/>
    <pivotField showAll="0"/>
    <pivotField axis="axisRow" showAll="0" measureFilter="1">
      <items count="94">
        <item m="1" x="35"/>
        <item m="1" x="17"/>
        <item m="1" x="75"/>
        <item m="1" x="69"/>
        <item m="1" x="52"/>
        <item m="1" x="5"/>
        <item m="1" x="34"/>
        <item m="1" x="66"/>
        <item m="1" x="90"/>
        <item m="1" x="72"/>
        <item m="1" x="74"/>
        <item m="1" x="84"/>
        <item m="1" x="81"/>
        <item m="1" x="9"/>
        <item m="1" x="89"/>
        <item m="1" x="2"/>
        <item m="1" x="51"/>
        <item m="1" x="88"/>
        <item m="1" x="91"/>
        <item m="1" x="61"/>
        <item m="1" x="86"/>
        <item m="1" x="77"/>
        <item m="1" x="76"/>
        <item m="1" x="87"/>
        <item m="1" x="79"/>
        <item m="1" x="26"/>
        <item m="1" x="85"/>
        <item m="1" x="73"/>
        <item m="1" x="16"/>
        <item m="1" x="40"/>
        <item m="1" x="80"/>
        <item m="1" x="7"/>
        <item m="1" x="12"/>
        <item m="1" x="65"/>
        <item m="1" x="82"/>
        <item m="1" x="83"/>
        <item m="1" x="70"/>
        <item m="1" x="92"/>
        <item m="1" x="78"/>
        <item m="1" x="1"/>
        <item m="1" x="29"/>
        <item m="1" x="71"/>
        <item m="1" x="56"/>
        <item m="1" x="11"/>
        <item x="0"/>
        <item m="1" x="27"/>
        <item m="1" x="57"/>
        <item m="1" x="24"/>
        <item m="1" x="36"/>
        <item m="1" x="19"/>
        <item m="1" x="50"/>
        <item m="1" x="55"/>
        <item m="1" x="32"/>
        <item m="1" x="53"/>
        <item m="1" x="41"/>
        <item m="1" x="46"/>
        <item m="1" x="43"/>
        <item m="1" x="42"/>
        <item m="1" x="44"/>
        <item m="1" x="45"/>
        <item m="1" x="47"/>
        <item m="1" x="48"/>
        <item m="1" x="49"/>
        <item m="1" x="39"/>
        <item m="1" x="58"/>
        <item m="1" x="60"/>
        <item m="1" x="54"/>
        <item m="1" x="23"/>
        <item m="1" x="63"/>
        <item m="1" x="64"/>
        <item m="1" x="38"/>
        <item m="1" x="22"/>
        <item m="1" x="62"/>
        <item m="1" x="67"/>
        <item m="1" x="68"/>
        <item m="1" x="59"/>
        <item m="1" x="3"/>
        <item m="1" x="4"/>
        <item m="1" x="6"/>
        <item m="1" x="8"/>
        <item m="1" x="10"/>
        <item m="1" x="13"/>
        <item m="1" x="14"/>
        <item m="1" x="15"/>
        <item m="1" x="18"/>
        <item m="1" x="20"/>
        <item m="1" x="21"/>
        <item m="1" x="25"/>
        <item m="1" x="28"/>
        <item m="1" x="30"/>
        <item m="1" x="31"/>
        <item m="1" x="33"/>
        <item m="1" x="37"/>
        <item t="default"/>
      </items>
    </pivotField>
    <pivotField dataField="1"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</pivotFields>
  <rowFields count="1">
    <field x="3"/>
  </rowFields>
  <rowItems count="2">
    <i>
      <x v="44"/>
    </i>
    <i t="grand">
      <x/>
    </i>
  </rowItems>
  <colItems count="1">
    <i/>
  </colItems>
  <dataFields count="1">
    <dataField name="Contagem de Nº SAT" fld="4" subtotal="count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3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3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4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Tabela dinâmica2" cacheId="1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5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m="1" x="2"/>
        <item m="1" x="1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4" showAll="0"/>
    <pivotField showAll="0"/>
    <pivotField showAll="0"/>
    <pivotField showAll="0"/>
  </pivotFields>
  <rowFields count="1">
    <field x="11"/>
  </rowFields>
  <rowItems count="2">
    <i>
      <x v="3"/>
    </i>
    <i t="grand">
      <x/>
    </i>
  </rowItems>
  <colItems count="1">
    <i/>
  </colItems>
  <dataFields count="1">
    <dataField name="Soma de Custo Total " fld="23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6000000}" name="Tabela dinâmica4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A3:B5" firstHeaderRow="1" firstDataRow="1" firstDataCol="1"/>
  <pivotFields count="27"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>
      <items count="42">
        <item m="1" x="36"/>
        <item m="1" x="29"/>
        <item m="1" x="18"/>
        <item m="1" x="39"/>
        <item m="1" x="38"/>
        <item m="1" x="40"/>
        <item m="1" x="20"/>
        <item m="1" x="25"/>
        <item m="1" x="1"/>
        <item m="1" x="33"/>
        <item m="1" x="27"/>
        <item m="1" x="23"/>
        <item m="1" x="28"/>
        <item m="1" x="35"/>
        <item m="1" x="13"/>
        <item m="1" x="32"/>
        <item m="1" x="24"/>
        <item m="1" x="31"/>
        <item m="1" x="2"/>
        <item m="1" x="34"/>
        <item m="1" x="26"/>
        <item m="1" x="12"/>
        <item m="1" x="7"/>
        <item m="1" x="3"/>
        <item m="1" x="37"/>
        <item m="1" x="21"/>
        <item m="1" x="30"/>
        <item m="1" x="19"/>
        <item x="0"/>
        <item m="1" x="22"/>
        <item m="1" x="4"/>
        <item m="1" x="5"/>
        <item m="1" x="6"/>
        <item m="1" x="8"/>
        <item m="1" x="9"/>
        <item m="1" x="10"/>
        <item m="1" x="11"/>
        <item m="1" x="14"/>
        <item m="1" x="15"/>
        <item m="1" x="16"/>
        <item m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4" showAll="0"/>
    <pivotField showAll="0"/>
    <pivotField showAll="0"/>
    <pivotField showAll="0"/>
  </pivotFields>
  <rowFields count="1">
    <field x="15"/>
  </rowFields>
  <rowItems count="2">
    <i>
      <x v="28"/>
    </i>
    <i t="grand">
      <x/>
    </i>
  </rowItems>
  <colItems count="1">
    <i/>
  </colItems>
  <dataFields count="1">
    <dataField name="Contagem de Nº SAT" fld="4" subtotal="count" baseField="0" baseItem="0"/>
  </dataFields>
  <chartFormats count="1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15" count="1" selected="0">
            <x v="18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2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15" count="1" selected="0">
            <x v="23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5" count="1" selected="0">
            <x v="18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5" count="1" selected="0">
            <x v="2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5" count="1" selected="0">
            <x v="23"/>
          </reference>
        </references>
      </pivotArea>
    </chartFormat>
    <chartFormat chart="13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  <chartFormat chart="13" format="19">
      <pivotArea type="data" outline="0" fieldPosition="0">
        <references count="2">
          <reference field="4294967294" count="1" selected="0">
            <x v="0"/>
          </reference>
          <reference field="15" count="1" selected="0">
            <x v="22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5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5" type="count" evalOrder="-1" id="4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ABA0E-6852-4F71-B451-0F824882F4C3}" name="Tabela dinâmica1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B8" firstHeaderRow="1" firstDataRow="1" firstDataCol="1" rowPageCount="3" colPageCount="1"/>
  <pivotFields count="27">
    <pivotField showAll="0"/>
    <pivotField showAll="0"/>
    <pivotField showAll="0"/>
    <pivotField axis="axisRow" showAll="0">
      <items count="94">
        <item m="1" x="48"/>
        <item m="1" x="4"/>
        <item m="1" x="35"/>
        <item m="1" x="17"/>
        <item m="1" x="32"/>
        <item m="1" x="75"/>
        <item m="1" x="69"/>
        <item m="1" x="33"/>
        <item m="1" x="52"/>
        <item m="1" x="5"/>
        <item m="1" x="34"/>
        <item m="1" x="19"/>
        <item m="1" x="41"/>
        <item m="1" x="42"/>
        <item m="1" x="15"/>
        <item m="1" x="66"/>
        <item m="1" x="90"/>
        <item m="1" x="72"/>
        <item m="1" x="44"/>
        <item m="1" x="74"/>
        <item m="1" x="84"/>
        <item m="1" x="81"/>
        <item m="1" x="9"/>
        <item m="1" x="89"/>
        <item m="1" x="2"/>
        <item m="1" x="51"/>
        <item m="1" x="39"/>
        <item m="1" x="88"/>
        <item m="1" x="67"/>
        <item m="1" x="57"/>
        <item m="1" x="53"/>
        <item m="1" x="8"/>
        <item m="1" x="38"/>
        <item m="1" x="91"/>
        <item m="1" x="25"/>
        <item m="1" x="61"/>
        <item m="1" x="50"/>
        <item m="1" x="10"/>
        <item m="1" x="86"/>
        <item m="1" x="77"/>
        <item m="1" x="63"/>
        <item m="1" x="76"/>
        <item m="1" x="37"/>
        <item m="1" x="87"/>
        <item m="1" x="64"/>
        <item m="1" x="22"/>
        <item m="1" x="79"/>
        <item m="1" x="62"/>
        <item m="1" x="49"/>
        <item m="1" x="26"/>
        <item m="1" x="85"/>
        <item m="1" x="68"/>
        <item m="1" x="73"/>
        <item m="1" x="24"/>
        <item m="1" x="16"/>
        <item m="1" x="30"/>
        <item m="1" x="40"/>
        <item m="1" x="46"/>
        <item m="1" x="23"/>
        <item m="1" x="58"/>
        <item m="1" x="80"/>
        <item m="1" x="7"/>
        <item m="1" x="13"/>
        <item m="1" x="12"/>
        <item m="1" x="36"/>
        <item m="1" x="65"/>
        <item m="1" x="60"/>
        <item m="1" x="47"/>
        <item m="1" x="59"/>
        <item m="1" x="55"/>
        <item m="1" x="14"/>
        <item m="1" x="54"/>
        <item m="1" x="82"/>
        <item m="1" x="21"/>
        <item m="1" x="83"/>
        <item m="1" x="31"/>
        <item m="1" x="20"/>
        <item m="1" x="70"/>
        <item m="1" x="45"/>
        <item m="1" x="92"/>
        <item m="1" x="43"/>
        <item m="1" x="27"/>
        <item m="1" x="78"/>
        <item m="1" x="1"/>
        <item m="1" x="6"/>
        <item m="1" x="29"/>
        <item m="1" x="71"/>
        <item m="1" x="56"/>
        <item m="1" x="28"/>
        <item m="1" x="18"/>
        <item m="1" x="11"/>
        <item m="1" x="3"/>
        <item x="0"/>
        <item t="default"/>
      </items>
    </pivotField>
    <pivotField showAll="0"/>
    <pivotField showAll="0"/>
    <pivotField showAll="0"/>
    <pivotField axis="axisPage" showAll="0">
      <items count="6">
        <item m="1" x="3"/>
        <item m="1" x="2"/>
        <item m="1" x="1"/>
        <item m="1" x="4"/>
        <item x="0"/>
        <item t="default"/>
      </items>
    </pivotField>
    <pivotField axis="axisRow" showAll="0">
      <items count="111">
        <item m="1" x="61"/>
        <item m="1" x="19"/>
        <item m="1" x="12"/>
        <item m="1" x="9"/>
        <item m="1" x="74"/>
        <item m="1" x="63"/>
        <item m="1" x="41"/>
        <item m="1" x="56"/>
        <item m="1" x="7"/>
        <item m="1" x="78"/>
        <item m="1" x="3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67"/>
        <item m="1" x="39"/>
        <item m="1" x="50"/>
        <item m="1" x="35"/>
        <item m="1" x="44"/>
        <item m="1" x="85"/>
        <item m="1" x="5"/>
        <item m="1" x="42"/>
        <item m="1" x="15"/>
        <item m="1" x="23"/>
        <item m="1" x="30"/>
        <item m="1" x="25"/>
        <item m="1" x="24"/>
        <item m="1" x="94"/>
        <item m="1" x="18"/>
        <item m="1" x="1"/>
        <item m="1" x="20"/>
        <item m="1" x="13"/>
        <item m="1" x="6"/>
        <item m="1" x="36"/>
        <item m="1" x="8"/>
        <item m="1" x="28"/>
        <item m="1" x="2"/>
        <item m="1" x="40"/>
        <item m="1" x="4"/>
        <item m="1" x="89"/>
        <item m="1" x="49"/>
        <item m="1" x="14"/>
        <item m="1" x="10"/>
        <item m="1" x="91"/>
        <item m="1" x="88"/>
        <item m="1" x="11"/>
        <item m="1" x="45"/>
        <item m="1" x="107"/>
        <item m="1" x="1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2"/>
        <item m="1" x="53"/>
        <item m="1" x="84"/>
        <item m="1" x="54"/>
        <item m="1" x="81"/>
        <item m="1" x="83"/>
        <item m="1" x="82"/>
        <item m="1" x="86"/>
        <item m="1" x="43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51"/>
        <item m="1" x="60"/>
        <item m="1" x="106"/>
        <item m="1" x="69"/>
        <item m="1" x="48"/>
        <item m="1" x="73"/>
        <item m="1" x="98"/>
        <item m="1" x="26"/>
        <item m="1" x="46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m="1" x="22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m="1" x="1"/>
        <item m="1" x="2"/>
        <item t="default"/>
      </items>
    </pivotField>
    <pivotField showAll="0"/>
  </pivotFields>
  <rowFields count="2">
    <field x="3"/>
    <field x="8"/>
  </rowFields>
  <rowItems count="3">
    <i>
      <x v="92"/>
    </i>
    <i r="1">
      <x v="109"/>
    </i>
    <i t="grand">
      <x/>
    </i>
  </rowItems>
  <colItems count="1">
    <i/>
  </colItems>
  <pageFields count="3">
    <pageField fld="17" hier="-1"/>
    <pageField fld="7" item="4" hier="-1"/>
    <pageField fld="25" item="0" hier="-1"/>
  </pageFields>
  <dataFields count="1">
    <dataField name="Soma de Custo Total " fld="2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5190C-70EB-4694-B161-F3589BD1132C}" name="Tabela dinâmica1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B9" firstHeaderRow="1" firstDataRow="1" firstDataCol="1" rowPageCount="4" colPageCount="1"/>
  <pivotFields count="27">
    <pivotField showAll="0"/>
    <pivotField showAll="0"/>
    <pivotField showAll="0"/>
    <pivotField axis="axisRow" showAll="0">
      <items count="94">
        <item m="1" x="48"/>
        <item m="1" x="4"/>
        <item m="1" x="35"/>
        <item m="1" x="17"/>
        <item m="1" x="32"/>
        <item m="1" x="75"/>
        <item m="1" x="69"/>
        <item m="1" x="33"/>
        <item m="1" x="52"/>
        <item m="1" x="5"/>
        <item m="1" x="34"/>
        <item m="1" x="19"/>
        <item m="1" x="41"/>
        <item m="1" x="42"/>
        <item m="1" x="15"/>
        <item m="1" x="66"/>
        <item m="1" x="90"/>
        <item m="1" x="72"/>
        <item m="1" x="44"/>
        <item m="1" x="74"/>
        <item m="1" x="84"/>
        <item m="1" x="81"/>
        <item m="1" x="9"/>
        <item m="1" x="89"/>
        <item m="1" x="2"/>
        <item m="1" x="51"/>
        <item m="1" x="39"/>
        <item m="1" x="88"/>
        <item m="1" x="67"/>
        <item m="1" x="57"/>
        <item m="1" x="53"/>
        <item m="1" x="8"/>
        <item m="1" x="38"/>
        <item m="1" x="91"/>
        <item m="1" x="25"/>
        <item m="1" x="61"/>
        <item m="1" x="50"/>
        <item m="1" x="10"/>
        <item m="1" x="86"/>
        <item m="1" x="77"/>
        <item m="1" x="63"/>
        <item m="1" x="76"/>
        <item m="1" x="37"/>
        <item m="1" x="87"/>
        <item m="1" x="64"/>
        <item m="1" x="22"/>
        <item m="1" x="79"/>
        <item m="1" x="62"/>
        <item m="1" x="49"/>
        <item m="1" x="26"/>
        <item m="1" x="85"/>
        <item m="1" x="68"/>
        <item m="1" x="73"/>
        <item m="1" x="24"/>
        <item m="1" x="16"/>
        <item m="1" x="30"/>
        <item m="1" x="40"/>
        <item m="1" x="46"/>
        <item m="1" x="23"/>
        <item m="1" x="58"/>
        <item m="1" x="80"/>
        <item m="1" x="7"/>
        <item m="1" x="13"/>
        <item m="1" x="12"/>
        <item m="1" x="36"/>
        <item m="1" x="65"/>
        <item m="1" x="60"/>
        <item m="1" x="47"/>
        <item m="1" x="59"/>
        <item m="1" x="55"/>
        <item m="1" x="14"/>
        <item m="1" x="54"/>
        <item m="1" x="82"/>
        <item m="1" x="21"/>
        <item m="1" x="83"/>
        <item m="1" x="31"/>
        <item m="1" x="20"/>
        <item m="1" x="70"/>
        <item m="1" x="45"/>
        <item m="1" x="92"/>
        <item m="1" x="43"/>
        <item m="1" x="27"/>
        <item m="1" x="78"/>
        <item m="1" x="1"/>
        <item m="1" x="6"/>
        <item m="1" x="29"/>
        <item m="1" x="71"/>
        <item m="1" x="56"/>
        <item m="1" x="28"/>
        <item m="1" x="18"/>
        <item m="1" x="11"/>
        <item m="1" x="3"/>
        <item x="0"/>
        <item t="default"/>
      </items>
    </pivotField>
    <pivotField showAll="0"/>
    <pivotField showAll="0"/>
    <pivotField showAll="0"/>
    <pivotField axis="axisPage" showAll="0">
      <items count="6">
        <item m="1" x="3"/>
        <item m="1" x="2"/>
        <item m="1" x="1"/>
        <item m="1" x="4"/>
        <item x="0"/>
        <item t="default"/>
      </items>
    </pivotField>
    <pivotField axis="axisRow" showAll="0">
      <items count="111">
        <item m="1" x="61"/>
        <item m="1" x="19"/>
        <item m="1" x="12"/>
        <item m="1" x="9"/>
        <item m="1" x="74"/>
        <item m="1" x="63"/>
        <item m="1" x="41"/>
        <item m="1" x="56"/>
        <item m="1" x="7"/>
        <item m="1" x="78"/>
        <item m="1" x="3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67"/>
        <item m="1" x="39"/>
        <item m="1" x="50"/>
        <item m="1" x="35"/>
        <item m="1" x="44"/>
        <item m="1" x="85"/>
        <item m="1" x="5"/>
        <item m="1" x="42"/>
        <item m="1" x="15"/>
        <item m="1" x="23"/>
        <item m="1" x="30"/>
        <item m="1" x="25"/>
        <item m="1" x="24"/>
        <item m="1" x="94"/>
        <item m="1" x="18"/>
        <item m="1" x="1"/>
        <item m="1" x="20"/>
        <item m="1" x="13"/>
        <item m="1" x="6"/>
        <item m="1" x="36"/>
        <item m="1" x="8"/>
        <item m="1" x="28"/>
        <item m="1" x="2"/>
        <item m="1" x="40"/>
        <item m="1" x="4"/>
        <item m="1" x="89"/>
        <item m="1" x="49"/>
        <item m="1" x="14"/>
        <item m="1" x="10"/>
        <item m="1" x="91"/>
        <item m="1" x="88"/>
        <item m="1" x="11"/>
        <item m="1" x="45"/>
        <item m="1" x="107"/>
        <item m="1" x="1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2"/>
        <item m="1" x="53"/>
        <item m="1" x="84"/>
        <item m="1" x="54"/>
        <item m="1" x="81"/>
        <item m="1" x="83"/>
        <item m="1" x="82"/>
        <item m="1" x="86"/>
        <item m="1" x="43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51"/>
        <item m="1" x="60"/>
        <item m="1" x="106"/>
        <item m="1" x="69"/>
        <item m="1" x="48"/>
        <item m="1" x="73"/>
        <item m="1" x="98"/>
        <item m="1" x="26"/>
        <item m="1" x="46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m="1" x="22"/>
        <item m="1" x="27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axis="axisPage" showAll="0">
      <items count="4">
        <item x="0"/>
        <item m="1" x="1"/>
        <item m="1" x="2"/>
        <item t="default"/>
      </items>
    </pivotField>
    <pivotField axis="axisPage" showAll="0">
      <items count="4">
        <item m="1" x="1"/>
        <item m="1" x="2"/>
        <item x="0"/>
        <item t="default"/>
      </items>
    </pivotField>
  </pivotFields>
  <rowFields count="2">
    <field x="3"/>
    <field x="8"/>
  </rowFields>
  <rowItems count="3">
    <i>
      <x v="92"/>
    </i>
    <i r="1">
      <x v="109"/>
    </i>
    <i t="grand">
      <x/>
    </i>
  </rowItems>
  <colItems count="1">
    <i/>
  </colItems>
  <pageFields count="4">
    <pageField fld="17" hier="-1"/>
    <pageField fld="7" item="4" hier="-1"/>
    <pageField fld="25" hier="-1"/>
    <pageField fld="26" hier="-1"/>
  </pageFields>
  <dataFields count="1">
    <dataField name="Soma de Correio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7000000}" name="Tabela dinâmica1" cacheId="10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>
  <location ref="A3:AB16" firstHeaderRow="0" firstDataRow="1" firstDataCol="1"/>
  <pivotFields count="30">
    <pivotField axis="axisRow" numFmtId="167" showAll="0">
      <items count="25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9"/>
    <field x="28"/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</colItems>
  <dataFields count="27">
    <dataField name="Soma de UNIPORTAS" fld="27" baseField="0" baseItem="0" numFmtId="44"/>
    <dataField name="Soma de ALUMINIO 2A" fld="26" baseField="0" baseItem="0" numFmtId="44"/>
    <dataField name="Soma de ALAMO" fld="25" baseField="0" baseItem="0" numFmtId="44"/>
    <dataField name="Soma de JJ BATENTES" fld="24" baseField="0" baseItem="0" numFmtId="44"/>
    <dataField name="Soma de STAM" fld="23" baseField="0" baseItem="0" numFmtId="44"/>
    <dataField name="Soma de SANCHES" fld="22" baseField="0" baseItem="0" numFmtId="44"/>
    <dataField name="Soma de RIVA" fld="21" baseField="0" baseItem="0" numFmtId="44"/>
    <dataField name="Soma de PRESOTTO" fld="20" baseField="0" baseItem="0" numFmtId="44"/>
    <dataField name="Soma de PORTO UNIÃO " fld="19" baseField="0" baseItem="0" numFmtId="44"/>
    <dataField name="Soma de POLTRONIERI" fld="18" baseField="0" baseItem="0" numFmtId="44"/>
    <dataField name="Soma de PIANCE" fld="17" baseField="0" baseItem="0" numFmtId="44"/>
    <dataField name="Soma de OJ CHUANTS " fld="16" baseField="0" baseItem="0" numFmtId="44"/>
    <dataField name="Soma de NAVAS" fld="15" baseField="0" baseItem="0" numFmtId="44"/>
    <dataField name="Soma de MGM" fld="14" baseField="0" baseItem="0" numFmtId="44"/>
    <dataField name="Soma de WILLIAM SHULL" fld="13" baseField="0" baseItem="0" numFmtId="44"/>
    <dataField name="Soma de MAD CASTOR" fld="12" baseField="0" baseItem="0" numFmtId="44"/>
    <dataField name="Soma de SUL PORTAS" fld="11" baseField="0" baseItem="0" numFmtId="44"/>
    <dataField name="Soma de RODEIO" fld="10" baseField="0" baseItem="0" numFmtId="44"/>
    <dataField name="Soma de IMPEL" fld="9" baseField="0" baseItem="0" numFmtId="44"/>
    <dataField name="Soma de IRMÃS NAVAS" fld="8" baseField="0" baseItem="0" numFmtId="44"/>
    <dataField name="Soma de IDEAL" fld="7" baseField="0" baseItem="0" numFmtId="44"/>
    <dataField name="Soma de GN-MADEIRAS" fld="6" baseField="0" baseItem="0" numFmtId="44"/>
    <dataField name="Soma de EUCATEX" fld="5" baseField="0" baseItem="0" numFmtId="44"/>
    <dataField name="Soma de DALCOMADE" fld="4" baseField="0" baseItem="0" numFmtId="44"/>
    <dataField name="Soma de CAMOMIL " fld="2" baseField="0" baseItem="0" numFmtId="44"/>
    <dataField name="Soma de COMPANY" fld="3" baseField="0" baseItem="0" numFmtId="44"/>
    <dataField name="Soma de ARLIZ" fld="1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E0B9E-2AB0-47DF-94FF-9B3FFB9D9AED}" name="Tabela dinâmica2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 rowHeaderCaption="Cliente / Modelo Fechadura">
  <location ref="A17:B18" firstHeaderRow="1" firstDataRow="1" firstDataCol="1" rowPageCount="3" colPageCount="1"/>
  <pivotFields count="27">
    <pivotField showAll="0"/>
    <pivotField showAll="0"/>
    <pivotField showAll="0"/>
    <pivotField axis="axisRow" showAll="0" measureFilter="1">
      <items count="94">
        <item m="1" x="48"/>
        <item m="1" x="35"/>
        <item m="1" x="17"/>
        <item m="1" x="32"/>
        <item m="1" x="75"/>
        <item m="1" x="69"/>
        <item m="1" x="52"/>
        <item m="1" x="5"/>
        <item m="1" x="34"/>
        <item m="1" x="19"/>
        <item m="1" x="41"/>
        <item m="1" x="42"/>
        <item m="1" x="66"/>
        <item m="1" x="90"/>
        <item m="1" x="72"/>
        <item m="1" x="44"/>
        <item m="1" x="74"/>
        <item m="1" x="84"/>
        <item m="1" x="81"/>
        <item m="1" x="9"/>
        <item m="1" x="89"/>
        <item m="1" x="2"/>
        <item m="1" x="51"/>
        <item m="1" x="39"/>
        <item m="1" x="88"/>
        <item m="1" x="67"/>
        <item m="1" x="57"/>
        <item m="1" x="53"/>
        <item m="1" x="38"/>
        <item m="1" x="91"/>
        <item m="1" x="61"/>
        <item m="1" x="50"/>
        <item m="1" x="86"/>
        <item m="1" x="77"/>
        <item m="1" x="63"/>
        <item m="1" x="76"/>
        <item m="1" x="87"/>
        <item m="1" x="64"/>
        <item m="1" x="22"/>
        <item m="1" x="79"/>
        <item m="1" x="62"/>
        <item m="1" x="49"/>
        <item m="1" x="26"/>
        <item m="1" x="85"/>
        <item m="1" x="68"/>
        <item m="1" x="73"/>
        <item m="1" x="24"/>
        <item m="1" x="16"/>
        <item m="1" x="40"/>
        <item m="1" x="46"/>
        <item m="1" x="23"/>
        <item m="1" x="58"/>
        <item m="1" x="80"/>
        <item m="1" x="7"/>
        <item m="1" x="12"/>
        <item m="1" x="36"/>
        <item m="1" x="65"/>
        <item m="1" x="60"/>
        <item m="1" x="47"/>
        <item m="1" x="59"/>
        <item m="1" x="55"/>
        <item m="1" x="54"/>
        <item m="1" x="82"/>
        <item m="1" x="83"/>
        <item m="1" x="70"/>
        <item m="1" x="45"/>
        <item m="1" x="92"/>
        <item m="1" x="43"/>
        <item m="1" x="27"/>
        <item m="1" x="78"/>
        <item m="1" x="1"/>
        <item m="1" x="29"/>
        <item m="1" x="71"/>
        <item m="1" x="56"/>
        <item m="1" x="11"/>
        <item x="0"/>
        <item m="1" x="3"/>
        <item m="1" x="4"/>
        <item m="1" x="6"/>
        <item m="1" x="8"/>
        <item m="1" x="10"/>
        <item m="1" x="13"/>
        <item m="1" x="14"/>
        <item m="1" x="15"/>
        <item m="1" x="18"/>
        <item m="1" x="20"/>
        <item m="1" x="21"/>
        <item m="1" x="25"/>
        <item m="1" x="28"/>
        <item m="1" x="30"/>
        <item m="1" x="31"/>
        <item m="1" x="33"/>
        <item m="1" x="37"/>
        <item t="default"/>
      </items>
    </pivotField>
    <pivotField showAll="0"/>
    <pivotField showAll="0"/>
    <pivotField showAll="0"/>
    <pivotField axis="axisPage" showAll="0">
      <items count="6">
        <item m="1" x="3"/>
        <item m="1" x="2"/>
        <item m="1" x="1"/>
        <item x="0"/>
        <item m="1" x="4"/>
        <item t="default"/>
      </items>
    </pivotField>
    <pivotField axis="axisRow" showAll="0" measureFilter="1">
      <items count="111">
        <item m="1" x="61"/>
        <item m="1" x="74"/>
        <item m="1" x="63"/>
        <item m="1" x="56"/>
        <item m="1" x="7"/>
        <item m="1" x="7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44"/>
        <item m="1" x="85"/>
        <item m="1" x="94"/>
        <item m="1" x="89"/>
        <item m="1" x="91"/>
        <item m="1" x="88"/>
        <item m="1" x="10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3"/>
        <item m="1" x="84"/>
        <item m="1" x="54"/>
        <item m="1" x="81"/>
        <item m="1" x="83"/>
        <item m="1" x="82"/>
        <item m="1" x="86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60"/>
        <item m="1" x="106"/>
        <item m="1" x="69"/>
        <item m="1" x="73"/>
        <item m="1" x="98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x="0"/>
        <item m="1" x="67"/>
        <item m="1" x="1"/>
        <item m="1" x="2"/>
        <item m="1" x="4"/>
        <item m="1" x="5"/>
        <item m="1" x="6"/>
        <item m="1" x="8"/>
        <item m="1" x="9"/>
        <item m="1" x="10"/>
        <item m="1" x="11"/>
        <item m="1" x="12"/>
        <item m="1" x="13"/>
        <item m="1" x="14"/>
        <item m="1" x="15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30"/>
        <item m="1" x="35"/>
        <item m="1" x="36"/>
        <item m="1" x="38"/>
        <item m="1" x="39"/>
        <item m="1" x="40"/>
        <item m="1" x="41"/>
        <item m="1" x="42"/>
        <item m="1" x="43"/>
        <item m="1" x="45"/>
        <item m="1" x="46"/>
        <item m="1" x="48"/>
        <item m="1" x="49"/>
        <item m="1" x="50"/>
        <item m="1" x="51"/>
        <item m="1" x="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dataField="1" showAll="0"/>
    <pivotField showAll="0"/>
    <pivotField showAll="0"/>
    <pivotField numFmtId="44" showAll="0"/>
    <pivotField showAll="0"/>
    <pivotField axis="axisPage" showAll="0">
      <items count="4">
        <item x="0"/>
        <item m="1" x="1"/>
        <item m="1" x="2"/>
        <item t="default"/>
      </items>
    </pivotField>
    <pivotField showAll="0"/>
  </pivotFields>
  <rowFields count="2">
    <field x="3"/>
    <field x="8"/>
  </rowFields>
  <rowItems count="1">
    <i t="grand">
      <x/>
    </i>
  </rowItems>
  <colItems count="1">
    <i/>
  </colItems>
  <pageFields count="3">
    <pageField fld="17" hier="-1"/>
    <pageField fld="7" item="3" hier="-1"/>
    <pageField fld="25" item="0" hier="-1"/>
  </pageFields>
  <dataFields count="1">
    <dataField name="Custo em  Correio" fld="20" baseField="0" baseItem="0" numFmtId="165"/>
  </dataFields>
  <formats count="48">
    <format dxfId="140">
      <pivotArea outline="0" collapsedLevelsAreSubtotals="1" fieldPosition="0"/>
    </format>
    <format dxfId="139">
      <pivotArea dataOnly="0" labelOnly="1" outline="0" fieldPosition="0">
        <references count="1">
          <reference field="17" count="1">
            <x v="0"/>
          </reference>
        </references>
      </pivotArea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3" type="button" dataOnly="0" labelOnly="1" outline="0" axis="axisRow" fieldPosition="0"/>
    </format>
    <format dxfId="134">
      <pivotArea dataOnly="0" labelOnly="1" fieldPosition="0">
        <references count="1">
          <reference field="3" count="16">
            <x v="1"/>
            <x v="6"/>
            <x v="9"/>
            <x v="12"/>
            <x v="19"/>
            <x v="21"/>
            <x v="38"/>
            <x v="40"/>
            <x v="46"/>
            <x v="49"/>
            <x v="50"/>
            <x v="55"/>
            <x v="59"/>
            <x v="67"/>
            <x v="68"/>
            <x v="74"/>
          </reference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2">
          <reference field="3" count="1" selected="0">
            <x v="1"/>
          </reference>
          <reference field="8" count="1">
            <x v="5"/>
          </reference>
        </references>
      </pivotArea>
    </format>
    <format dxfId="131">
      <pivotArea dataOnly="0" labelOnly="1" fieldPosition="0">
        <references count="2">
          <reference field="3" count="1" selected="0">
            <x v="6"/>
          </reference>
          <reference field="8" count="2">
            <x v="8"/>
            <x v="13"/>
          </reference>
        </references>
      </pivotArea>
    </format>
    <format dxfId="130">
      <pivotArea dataOnly="0" labelOnly="1" fieldPosition="0">
        <references count="2">
          <reference field="3" count="1" selected="0">
            <x v="9"/>
          </reference>
          <reference field="8" count="1">
            <x v="11"/>
          </reference>
        </references>
      </pivotArea>
    </format>
    <format dxfId="129">
      <pivotArea dataOnly="0" labelOnly="1" fieldPosition="0">
        <references count="2">
          <reference field="3" count="1" selected="0">
            <x v="12"/>
          </reference>
          <reference field="8" count="1">
            <x v="12"/>
          </reference>
        </references>
      </pivotArea>
    </format>
    <format dxfId="128">
      <pivotArea dataOnly="0" labelOnly="1" fieldPosition="0">
        <references count="2">
          <reference field="3" count="1" selected="0">
            <x v="19"/>
          </reference>
          <reference field="8" count="1">
            <x v="10"/>
          </reference>
        </references>
      </pivotArea>
    </format>
    <format dxfId="127">
      <pivotArea dataOnly="0" labelOnly="1" fieldPosition="0">
        <references count="2">
          <reference field="3" count="1" selected="0">
            <x v="21"/>
          </reference>
          <reference field="8" count="3">
            <x v="7"/>
            <x v="8"/>
            <x v="12"/>
          </reference>
        </references>
      </pivotArea>
    </format>
    <format dxfId="126">
      <pivotArea dataOnly="0" labelOnly="1" fieldPosition="0">
        <references count="2">
          <reference field="3" count="1" selected="0">
            <x v="38"/>
          </reference>
          <reference field="8" count="1">
            <x v="15"/>
          </reference>
        </references>
      </pivotArea>
    </format>
    <format dxfId="125">
      <pivotArea dataOnly="0" labelOnly="1" fieldPosition="0">
        <references count="2">
          <reference field="3" count="1" selected="0">
            <x v="40"/>
          </reference>
          <reference field="8" count="1">
            <x v="12"/>
          </reference>
        </references>
      </pivotArea>
    </format>
    <format dxfId="124">
      <pivotArea dataOnly="0" labelOnly="1" fieldPosition="0">
        <references count="2">
          <reference field="3" count="1" selected="0">
            <x v="46"/>
          </reference>
          <reference field="8" count="3">
            <x v="5"/>
            <x v="12"/>
            <x v="25"/>
          </reference>
        </references>
      </pivotArea>
    </format>
    <format dxfId="123">
      <pivotArea dataOnly="0" labelOnly="1" fieldPosition="0">
        <references count="2">
          <reference field="3" count="1" selected="0">
            <x v="49"/>
          </reference>
          <reference field="8" count="1">
            <x v="14"/>
          </reference>
        </references>
      </pivotArea>
    </format>
    <format dxfId="122">
      <pivotArea dataOnly="0" labelOnly="1" fieldPosition="0">
        <references count="2">
          <reference field="3" count="1" selected="0">
            <x v="50"/>
          </reference>
          <reference field="8" count="1">
            <x v="8"/>
          </reference>
        </references>
      </pivotArea>
    </format>
    <format dxfId="121">
      <pivotArea dataOnly="0" labelOnly="1" fieldPosition="0">
        <references count="2">
          <reference field="3" count="1" selected="0">
            <x v="55"/>
          </reference>
          <reference field="8" count="1">
            <x v="8"/>
          </reference>
        </references>
      </pivotArea>
    </format>
    <format dxfId="120">
      <pivotArea dataOnly="0" labelOnly="1" fieldPosition="0">
        <references count="2">
          <reference field="3" count="1" selected="0">
            <x v="59"/>
          </reference>
          <reference field="8" count="1">
            <x v="6"/>
          </reference>
        </references>
      </pivotArea>
    </format>
    <format dxfId="119">
      <pivotArea dataOnly="0" labelOnly="1" fieldPosition="0">
        <references count="2">
          <reference field="3" count="1" selected="0">
            <x v="67"/>
          </reference>
          <reference field="8" count="1">
            <x v="8"/>
          </reference>
        </references>
      </pivotArea>
    </format>
    <format dxfId="118">
      <pivotArea dataOnly="0" labelOnly="1" fieldPosition="0">
        <references count="2">
          <reference field="3" count="1" selected="0">
            <x v="68"/>
          </reference>
          <reference field="8" count="1">
            <x v="10"/>
          </reference>
        </references>
      </pivotArea>
    </format>
    <format dxfId="117">
      <pivotArea dataOnly="0" labelOnly="1" fieldPosition="0">
        <references count="2">
          <reference field="3" count="1" selected="0">
            <x v="74"/>
          </reference>
          <reference field="8" count="3">
            <x v="14"/>
            <x v="16"/>
            <x v="66"/>
          </reference>
        </references>
      </pivotArea>
    </format>
    <format dxfId="116">
      <pivotArea dataOnly="0" labelOnly="1" outline="0" axis="axisValues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3" type="button" dataOnly="0" labelOnly="1" outline="0" axis="axisRow" fieldPosition="0"/>
    </format>
    <format dxfId="112">
      <pivotArea dataOnly="0" labelOnly="1" fieldPosition="0">
        <references count="1">
          <reference field="3" count="16">
            <x v="1"/>
            <x v="6"/>
            <x v="9"/>
            <x v="12"/>
            <x v="19"/>
            <x v="21"/>
            <x v="38"/>
            <x v="40"/>
            <x v="46"/>
            <x v="49"/>
            <x v="50"/>
            <x v="55"/>
            <x v="59"/>
            <x v="67"/>
            <x v="68"/>
            <x v="74"/>
          </reference>
        </references>
      </pivotArea>
    </format>
    <format dxfId="111">
      <pivotArea dataOnly="0" labelOnly="1" grandRow="1" outline="0" fieldPosition="0"/>
    </format>
    <format dxfId="110">
      <pivotArea dataOnly="0" labelOnly="1" fieldPosition="0">
        <references count="2">
          <reference field="3" count="1" selected="0">
            <x v="1"/>
          </reference>
          <reference field="8" count="1">
            <x v="5"/>
          </reference>
        </references>
      </pivotArea>
    </format>
    <format dxfId="109">
      <pivotArea dataOnly="0" labelOnly="1" fieldPosition="0">
        <references count="2">
          <reference field="3" count="1" selected="0">
            <x v="6"/>
          </reference>
          <reference field="8" count="2">
            <x v="8"/>
            <x v="13"/>
          </reference>
        </references>
      </pivotArea>
    </format>
    <format dxfId="108">
      <pivotArea dataOnly="0" labelOnly="1" fieldPosition="0">
        <references count="2">
          <reference field="3" count="1" selected="0">
            <x v="9"/>
          </reference>
          <reference field="8" count="1">
            <x v="11"/>
          </reference>
        </references>
      </pivotArea>
    </format>
    <format dxfId="107">
      <pivotArea dataOnly="0" labelOnly="1" fieldPosition="0">
        <references count="2">
          <reference field="3" count="1" selected="0">
            <x v="12"/>
          </reference>
          <reference field="8" count="1">
            <x v="12"/>
          </reference>
        </references>
      </pivotArea>
    </format>
    <format dxfId="106">
      <pivotArea dataOnly="0" labelOnly="1" fieldPosition="0">
        <references count="2">
          <reference field="3" count="1" selected="0">
            <x v="19"/>
          </reference>
          <reference field="8" count="1">
            <x v="10"/>
          </reference>
        </references>
      </pivotArea>
    </format>
    <format dxfId="105">
      <pivotArea dataOnly="0" labelOnly="1" fieldPosition="0">
        <references count="2">
          <reference field="3" count="1" selected="0">
            <x v="21"/>
          </reference>
          <reference field="8" count="3">
            <x v="7"/>
            <x v="8"/>
            <x v="12"/>
          </reference>
        </references>
      </pivotArea>
    </format>
    <format dxfId="104">
      <pivotArea dataOnly="0" labelOnly="1" fieldPosition="0">
        <references count="2">
          <reference field="3" count="1" selected="0">
            <x v="38"/>
          </reference>
          <reference field="8" count="1">
            <x v="15"/>
          </reference>
        </references>
      </pivotArea>
    </format>
    <format dxfId="103">
      <pivotArea dataOnly="0" labelOnly="1" fieldPosition="0">
        <references count="2">
          <reference field="3" count="1" selected="0">
            <x v="40"/>
          </reference>
          <reference field="8" count="1">
            <x v="12"/>
          </reference>
        </references>
      </pivotArea>
    </format>
    <format dxfId="102">
      <pivotArea dataOnly="0" labelOnly="1" fieldPosition="0">
        <references count="2">
          <reference field="3" count="1" selected="0">
            <x v="46"/>
          </reference>
          <reference field="8" count="3">
            <x v="5"/>
            <x v="12"/>
            <x v="25"/>
          </reference>
        </references>
      </pivotArea>
    </format>
    <format dxfId="101">
      <pivotArea dataOnly="0" labelOnly="1" fieldPosition="0">
        <references count="2">
          <reference field="3" count="1" selected="0">
            <x v="49"/>
          </reference>
          <reference field="8" count="1">
            <x v="14"/>
          </reference>
        </references>
      </pivotArea>
    </format>
    <format dxfId="100">
      <pivotArea dataOnly="0" labelOnly="1" fieldPosition="0">
        <references count="2">
          <reference field="3" count="1" selected="0">
            <x v="50"/>
          </reference>
          <reference field="8" count="1">
            <x v="8"/>
          </reference>
        </references>
      </pivotArea>
    </format>
    <format dxfId="99">
      <pivotArea dataOnly="0" labelOnly="1" fieldPosition="0">
        <references count="2">
          <reference field="3" count="1" selected="0">
            <x v="55"/>
          </reference>
          <reference field="8" count="1">
            <x v="8"/>
          </reference>
        </references>
      </pivotArea>
    </format>
    <format dxfId="98">
      <pivotArea dataOnly="0" labelOnly="1" fieldPosition="0">
        <references count="2">
          <reference field="3" count="1" selected="0">
            <x v="59"/>
          </reference>
          <reference field="8" count="1">
            <x v="6"/>
          </reference>
        </references>
      </pivotArea>
    </format>
    <format dxfId="97">
      <pivotArea dataOnly="0" labelOnly="1" fieldPosition="0">
        <references count="2">
          <reference field="3" count="1" selected="0">
            <x v="67"/>
          </reference>
          <reference field="8" count="1">
            <x v="8"/>
          </reference>
        </references>
      </pivotArea>
    </format>
    <format dxfId="96">
      <pivotArea dataOnly="0" labelOnly="1" fieldPosition="0">
        <references count="2">
          <reference field="3" count="1" selected="0">
            <x v="68"/>
          </reference>
          <reference field="8" count="1">
            <x v="10"/>
          </reference>
        </references>
      </pivotArea>
    </format>
    <format dxfId="95">
      <pivotArea dataOnly="0" labelOnly="1" fieldPosition="0">
        <references count="2">
          <reference field="3" count="1" selected="0">
            <x v="74"/>
          </reference>
          <reference field="8" count="3">
            <x v="14"/>
            <x v="16"/>
            <x v="66"/>
          </reference>
        </references>
      </pivotArea>
    </format>
    <format dxfId="94">
      <pivotArea dataOnly="0" labelOnly="1" outline="0" axis="axisValues" fieldPosition="0"/>
    </format>
    <format dxfId="93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3" type="valueGreaterThanOrEqual" evalOrder="-1" id="1" iMeasureFld="0">
      <autoFilter ref="A1">
        <filterColumn colId="0">
          <customFilters>
            <customFilter operator="greaterThanOrEqual" val="1"/>
          </customFilters>
        </filterColumn>
      </autoFilter>
    </filter>
    <filter fld="8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2F105-F686-4EBB-B0B5-2BE16087F60D}" name="Tabela dinâmica2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 / Modelo Fechadura">
  <location ref="A17:B18" firstHeaderRow="1" firstDataRow="1" firstDataCol="1" rowPageCount="3" colPageCount="1"/>
  <pivotFields count="27">
    <pivotField showAll="0"/>
    <pivotField showAll="0"/>
    <pivotField showAll="0"/>
    <pivotField axis="axisRow" showAll="0" measureFilter="1">
      <items count="94">
        <item m="1" x="48"/>
        <item m="1" x="35"/>
        <item m="1" x="17"/>
        <item m="1" x="32"/>
        <item m="1" x="75"/>
        <item m="1" x="69"/>
        <item m="1" x="52"/>
        <item m="1" x="5"/>
        <item m="1" x="34"/>
        <item m="1" x="19"/>
        <item m="1" x="41"/>
        <item m="1" x="42"/>
        <item m="1" x="66"/>
        <item m="1" x="90"/>
        <item m="1" x="72"/>
        <item m="1" x="44"/>
        <item m="1" x="74"/>
        <item m="1" x="84"/>
        <item m="1" x="81"/>
        <item m="1" x="9"/>
        <item m="1" x="89"/>
        <item m="1" x="2"/>
        <item m="1" x="51"/>
        <item m="1" x="39"/>
        <item m="1" x="88"/>
        <item m="1" x="67"/>
        <item m="1" x="57"/>
        <item m="1" x="53"/>
        <item m="1" x="38"/>
        <item m="1" x="91"/>
        <item m="1" x="61"/>
        <item m="1" x="50"/>
        <item m="1" x="86"/>
        <item m="1" x="77"/>
        <item m="1" x="63"/>
        <item m="1" x="76"/>
        <item m="1" x="87"/>
        <item m="1" x="64"/>
        <item m="1" x="22"/>
        <item m="1" x="79"/>
        <item m="1" x="62"/>
        <item m="1" x="49"/>
        <item m="1" x="26"/>
        <item m="1" x="85"/>
        <item m="1" x="68"/>
        <item m="1" x="73"/>
        <item m="1" x="24"/>
        <item m="1" x="16"/>
        <item m="1" x="40"/>
        <item m="1" x="46"/>
        <item m="1" x="23"/>
        <item m="1" x="58"/>
        <item m="1" x="80"/>
        <item m="1" x="7"/>
        <item m="1" x="12"/>
        <item m="1" x="36"/>
        <item m="1" x="65"/>
        <item m="1" x="60"/>
        <item m="1" x="47"/>
        <item m="1" x="59"/>
        <item m="1" x="55"/>
        <item m="1" x="54"/>
        <item m="1" x="82"/>
        <item m="1" x="83"/>
        <item m="1" x="70"/>
        <item m="1" x="45"/>
        <item m="1" x="92"/>
        <item m="1" x="43"/>
        <item m="1" x="27"/>
        <item m="1" x="78"/>
        <item m="1" x="1"/>
        <item m="1" x="29"/>
        <item m="1" x="71"/>
        <item m="1" x="56"/>
        <item m="1" x="11"/>
        <item x="0"/>
        <item m="1" x="3"/>
        <item m="1" x="4"/>
        <item m="1" x="6"/>
        <item m="1" x="8"/>
        <item m="1" x="10"/>
        <item m="1" x="13"/>
        <item m="1" x="14"/>
        <item m="1" x="15"/>
        <item m="1" x="18"/>
        <item m="1" x="20"/>
        <item m="1" x="21"/>
        <item m="1" x="25"/>
        <item m="1" x="28"/>
        <item m="1" x="30"/>
        <item m="1" x="31"/>
        <item m="1" x="33"/>
        <item m="1" x="37"/>
        <item t="default"/>
      </items>
    </pivotField>
    <pivotField showAll="0"/>
    <pivotField showAll="0"/>
    <pivotField showAll="0"/>
    <pivotField axis="axisPage" showAll="0">
      <items count="6">
        <item m="1" x="3"/>
        <item m="1" x="2"/>
        <item m="1" x="1"/>
        <item x="0"/>
        <item m="1" x="4"/>
        <item t="default"/>
      </items>
    </pivotField>
    <pivotField axis="axisRow" showAll="0">
      <items count="111">
        <item m="1" x="61"/>
        <item m="1" x="74"/>
        <item m="1" x="63"/>
        <item m="1" x="56"/>
        <item m="1" x="7"/>
        <item m="1" x="7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44"/>
        <item m="1" x="85"/>
        <item m="1" x="94"/>
        <item m="1" x="89"/>
        <item m="1" x="91"/>
        <item m="1" x="88"/>
        <item m="1" x="10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3"/>
        <item m="1" x="84"/>
        <item m="1" x="54"/>
        <item m="1" x="81"/>
        <item m="1" x="83"/>
        <item m="1" x="82"/>
        <item m="1" x="86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60"/>
        <item m="1" x="106"/>
        <item m="1" x="69"/>
        <item m="1" x="73"/>
        <item m="1" x="98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x="0"/>
        <item m="1" x="67"/>
        <item m="1" x="1"/>
        <item m="1" x="2"/>
        <item m="1" x="4"/>
        <item m="1" x="5"/>
        <item m="1" x="6"/>
        <item m="1" x="8"/>
        <item m="1" x="9"/>
        <item m="1" x="10"/>
        <item m="1" x="11"/>
        <item m="1" x="12"/>
        <item m="1" x="13"/>
        <item m="1" x="14"/>
        <item m="1" x="15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30"/>
        <item m="1" x="35"/>
        <item m="1" x="36"/>
        <item m="1" x="38"/>
        <item m="1" x="39"/>
        <item m="1" x="40"/>
        <item m="1" x="41"/>
        <item m="1" x="42"/>
        <item m="1" x="43"/>
        <item m="1" x="45"/>
        <item m="1" x="46"/>
        <item m="1" x="48"/>
        <item m="1" x="49"/>
        <item m="1" x="50"/>
        <item m="1" x="51"/>
        <item m="1" x="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dataField="1" showAll="0"/>
    <pivotField showAll="0"/>
    <pivotField showAll="0"/>
    <pivotField numFmtId="44" showAll="0"/>
    <pivotField showAll="0"/>
    <pivotField axis="axisPage" showAll="0">
      <items count="4">
        <item x="0"/>
        <item m="1" x="1"/>
        <item m="1" x="2"/>
        <item t="default"/>
      </items>
    </pivotField>
    <pivotField showAll="0"/>
  </pivotFields>
  <rowFields count="2">
    <field x="3"/>
    <field x="8"/>
  </rowFields>
  <rowItems count="1">
    <i t="grand">
      <x/>
    </i>
  </rowItems>
  <colItems count="1">
    <i/>
  </colItems>
  <pageFields count="3">
    <pageField fld="17" hier="-1"/>
    <pageField fld="7" item="3" hier="-1"/>
    <pageField fld="25" item="0" hier="-1"/>
  </pageFields>
  <dataFields count="1">
    <dataField name="Custo em  Correio" fld="20" baseField="0" baseItem="0" numFmtId="165"/>
  </dataFields>
  <formats count="48">
    <format dxfId="92">
      <pivotArea outline="0" collapsedLevelsAreSubtotals="1" fieldPosition="0"/>
    </format>
    <format dxfId="91">
      <pivotArea dataOnly="0" labelOnly="1" outline="0" fieldPosition="0">
        <references count="1">
          <reference field="17" count="1">
            <x v="0"/>
          </reference>
        </references>
      </pivotArea>
    </format>
    <format dxfId="90">
      <pivotArea dataOnly="0" labelOnly="1" outline="0" axis="axisValues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3" type="button" dataOnly="0" labelOnly="1" outline="0" axis="axisRow" fieldPosition="0"/>
    </format>
    <format dxfId="86">
      <pivotArea dataOnly="0" labelOnly="1" fieldPosition="0">
        <references count="1">
          <reference field="3" count="16">
            <x v="1"/>
            <x v="6"/>
            <x v="9"/>
            <x v="12"/>
            <x v="19"/>
            <x v="21"/>
            <x v="38"/>
            <x v="40"/>
            <x v="46"/>
            <x v="49"/>
            <x v="50"/>
            <x v="55"/>
            <x v="59"/>
            <x v="67"/>
            <x v="68"/>
            <x v="74"/>
          </reference>
        </references>
      </pivotArea>
    </format>
    <format dxfId="85">
      <pivotArea dataOnly="0" labelOnly="1" grandRow="1" outline="0" fieldPosition="0"/>
    </format>
    <format dxfId="84">
      <pivotArea dataOnly="0" labelOnly="1" fieldPosition="0">
        <references count="2">
          <reference field="3" count="1" selected="0">
            <x v="1"/>
          </reference>
          <reference field="8" count="1">
            <x v="5"/>
          </reference>
        </references>
      </pivotArea>
    </format>
    <format dxfId="83">
      <pivotArea dataOnly="0" labelOnly="1" fieldPosition="0">
        <references count="2">
          <reference field="3" count="1" selected="0">
            <x v="6"/>
          </reference>
          <reference field="8" count="2">
            <x v="8"/>
            <x v="13"/>
          </reference>
        </references>
      </pivotArea>
    </format>
    <format dxfId="82">
      <pivotArea dataOnly="0" labelOnly="1" fieldPosition="0">
        <references count="2">
          <reference field="3" count="1" selected="0">
            <x v="9"/>
          </reference>
          <reference field="8" count="1">
            <x v="11"/>
          </reference>
        </references>
      </pivotArea>
    </format>
    <format dxfId="81">
      <pivotArea dataOnly="0" labelOnly="1" fieldPosition="0">
        <references count="2">
          <reference field="3" count="1" selected="0">
            <x v="12"/>
          </reference>
          <reference field="8" count="1">
            <x v="12"/>
          </reference>
        </references>
      </pivotArea>
    </format>
    <format dxfId="80">
      <pivotArea dataOnly="0" labelOnly="1" fieldPosition="0">
        <references count="2">
          <reference field="3" count="1" selected="0">
            <x v="19"/>
          </reference>
          <reference field="8" count="1">
            <x v="10"/>
          </reference>
        </references>
      </pivotArea>
    </format>
    <format dxfId="79">
      <pivotArea dataOnly="0" labelOnly="1" fieldPosition="0">
        <references count="2">
          <reference field="3" count="1" selected="0">
            <x v="21"/>
          </reference>
          <reference field="8" count="3">
            <x v="7"/>
            <x v="8"/>
            <x v="12"/>
          </reference>
        </references>
      </pivotArea>
    </format>
    <format dxfId="78">
      <pivotArea dataOnly="0" labelOnly="1" fieldPosition="0">
        <references count="2">
          <reference field="3" count="1" selected="0">
            <x v="38"/>
          </reference>
          <reference field="8" count="1">
            <x v="15"/>
          </reference>
        </references>
      </pivotArea>
    </format>
    <format dxfId="77">
      <pivotArea dataOnly="0" labelOnly="1" fieldPosition="0">
        <references count="2">
          <reference field="3" count="1" selected="0">
            <x v="40"/>
          </reference>
          <reference field="8" count="1">
            <x v="12"/>
          </reference>
        </references>
      </pivotArea>
    </format>
    <format dxfId="76">
      <pivotArea dataOnly="0" labelOnly="1" fieldPosition="0">
        <references count="2">
          <reference field="3" count="1" selected="0">
            <x v="46"/>
          </reference>
          <reference field="8" count="3">
            <x v="5"/>
            <x v="12"/>
            <x v="25"/>
          </reference>
        </references>
      </pivotArea>
    </format>
    <format dxfId="75">
      <pivotArea dataOnly="0" labelOnly="1" fieldPosition="0">
        <references count="2">
          <reference field="3" count="1" selected="0">
            <x v="49"/>
          </reference>
          <reference field="8" count="1">
            <x v="14"/>
          </reference>
        </references>
      </pivotArea>
    </format>
    <format dxfId="74">
      <pivotArea dataOnly="0" labelOnly="1" fieldPosition="0">
        <references count="2">
          <reference field="3" count="1" selected="0">
            <x v="50"/>
          </reference>
          <reference field="8" count="1">
            <x v="8"/>
          </reference>
        </references>
      </pivotArea>
    </format>
    <format dxfId="73">
      <pivotArea dataOnly="0" labelOnly="1" fieldPosition="0">
        <references count="2">
          <reference field="3" count="1" selected="0">
            <x v="55"/>
          </reference>
          <reference field="8" count="1">
            <x v="8"/>
          </reference>
        </references>
      </pivotArea>
    </format>
    <format dxfId="72">
      <pivotArea dataOnly="0" labelOnly="1" fieldPosition="0">
        <references count="2">
          <reference field="3" count="1" selected="0">
            <x v="59"/>
          </reference>
          <reference field="8" count="1">
            <x v="6"/>
          </reference>
        </references>
      </pivotArea>
    </format>
    <format dxfId="71">
      <pivotArea dataOnly="0" labelOnly="1" fieldPosition="0">
        <references count="2">
          <reference field="3" count="1" selected="0">
            <x v="67"/>
          </reference>
          <reference field="8" count="1">
            <x v="8"/>
          </reference>
        </references>
      </pivotArea>
    </format>
    <format dxfId="70">
      <pivotArea dataOnly="0" labelOnly="1" fieldPosition="0">
        <references count="2">
          <reference field="3" count="1" selected="0">
            <x v="68"/>
          </reference>
          <reference field="8" count="1">
            <x v="10"/>
          </reference>
        </references>
      </pivotArea>
    </format>
    <format dxfId="69">
      <pivotArea dataOnly="0" labelOnly="1" fieldPosition="0">
        <references count="2">
          <reference field="3" count="1" selected="0">
            <x v="74"/>
          </reference>
          <reference field="8" count="3">
            <x v="14"/>
            <x v="16"/>
            <x v="66"/>
          </reference>
        </references>
      </pivotArea>
    </format>
    <format dxfId="68">
      <pivotArea dataOnly="0" labelOnly="1" outline="0" axis="axisValues" fieldPosition="0"/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3" type="button" dataOnly="0" labelOnly="1" outline="0" axis="axisRow" fieldPosition="0"/>
    </format>
    <format dxfId="64">
      <pivotArea dataOnly="0" labelOnly="1" fieldPosition="0">
        <references count="1">
          <reference field="3" count="16">
            <x v="1"/>
            <x v="6"/>
            <x v="9"/>
            <x v="12"/>
            <x v="19"/>
            <x v="21"/>
            <x v="38"/>
            <x v="40"/>
            <x v="46"/>
            <x v="49"/>
            <x v="50"/>
            <x v="55"/>
            <x v="59"/>
            <x v="67"/>
            <x v="68"/>
            <x v="74"/>
          </reference>
        </references>
      </pivotArea>
    </format>
    <format dxfId="63">
      <pivotArea dataOnly="0" labelOnly="1" grandRow="1" outline="0" fieldPosition="0"/>
    </format>
    <format dxfId="62">
      <pivotArea dataOnly="0" labelOnly="1" fieldPosition="0">
        <references count="2">
          <reference field="3" count="1" selected="0">
            <x v="1"/>
          </reference>
          <reference field="8" count="1">
            <x v="5"/>
          </reference>
        </references>
      </pivotArea>
    </format>
    <format dxfId="61">
      <pivotArea dataOnly="0" labelOnly="1" fieldPosition="0">
        <references count="2">
          <reference field="3" count="1" selected="0">
            <x v="6"/>
          </reference>
          <reference field="8" count="2">
            <x v="8"/>
            <x v="13"/>
          </reference>
        </references>
      </pivotArea>
    </format>
    <format dxfId="60">
      <pivotArea dataOnly="0" labelOnly="1" fieldPosition="0">
        <references count="2">
          <reference field="3" count="1" selected="0">
            <x v="9"/>
          </reference>
          <reference field="8" count="1">
            <x v="11"/>
          </reference>
        </references>
      </pivotArea>
    </format>
    <format dxfId="59">
      <pivotArea dataOnly="0" labelOnly="1" fieldPosition="0">
        <references count="2">
          <reference field="3" count="1" selected="0">
            <x v="12"/>
          </reference>
          <reference field="8" count="1">
            <x v="12"/>
          </reference>
        </references>
      </pivotArea>
    </format>
    <format dxfId="58">
      <pivotArea dataOnly="0" labelOnly="1" fieldPosition="0">
        <references count="2">
          <reference field="3" count="1" selected="0">
            <x v="19"/>
          </reference>
          <reference field="8" count="1">
            <x v="10"/>
          </reference>
        </references>
      </pivotArea>
    </format>
    <format dxfId="57">
      <pivotArea dataOnly="0" labelOnly="1" fieldPosition="0">
        <references count="2">
          <reference field="3" count="1" selected="0">
            <x v="21"/>
          </reference>
          <reference field="8" count="3">
            <x v="7"/>
            <x v="8"/>
            <x v="12"/>
          </reference>
        </references>
      </pivotArea>
    </format>
    <format dxfId="56">
      <pivotArea dataOnly="0" labelOnly="1" fieldPosition="0">
        <references count="2">
          <reference field="3" count="1" selected="0">
            <x v="38"/>
          </reference>
          <reference field="8" count="1">
            <x v="15"/>
          </reference>
        </references>
      </pivotArea>
    </format>
    <format dxfId="55">
      <pivotArea dataOnly="0" labelOnly="1" fieldPosition="0">
        <references count="2">
          <reference field="3" count="1" selected="0">
            <x v="40"/>
          </reference>
          <reference field="8" count="1">
            <x v="12"/>
          </reference>
        </references>
      </pivotArea>
    </format>
    <format dxfId="54">
      <pivotArea dataOnly="0" labelOnly="1" fieldPosition="0">
        <references count="2">
          <reference field="3" count="1" selected="0">
            <x v="46"/>
          </reference>
          <reference field="8" count="3">
            <x v="5"/>
            <x v="12"/>
            <x v="25"/>
          </reference>
        </references>
      </pivotArea>
    </format>
    <format dxfId="53">
      <pivotArea dataOnly="0" labelOnly="1" fieldPosition="0">
        <references count="2">
          <reference field="3" count="1" selected="0">
            <x v="49"/>
          </reference>
          <reference field="8" count="1">
            <x v="14"/>
          </reference>
        </references>
      </pivotArea>
    </format>
    <format dxfId="52">
      <pivotArea dataOnly="0" labelOnly="1" fieldPosition="0">
        <references count="2">
          <reference field="3" count="1" selected="0">
            <x v="50"/>
          </reference>
          <reference field="8" count="1">
            <x v="8"/>
          </reference>
        </references>
      </pivotArea>
    </format>
    <format dxfId="51">
      <pivotArea dataOnly="0" labelOnly="1" fieldPosition="0">
        <references count="2">
          <reference field="3" count="1" selected="0">
            <x v="55"/>
          </reference>
          <reference field="8" count="1">
            <x v="8"/>
          </reference>
        </references>
      </pivotArea>
    </format>
    <format dxfId="50">
      <pivotArea dataOnly="0" labelOnly="1" fieldPosition="0">
        <references count="2">
          <reference field="3" count="1" selected="0">
            <x v="59"/>
          </reference>
          <reference field="8" count="1">
            <x v="6"/>
          </reference>
        </references>
      </pivotArea>
    </format>
    <format dxfId="49">
      <pivotArea dataOnly="0" labelOnly="1" fieldPosition="0">
        <references count="2">
          <reference field="3" count="1" selected="0">
            <x v="67"/>
          </reference>
          <reference field="8" count="1">
            <x v="8"/>
          </reference>
        </references>
      </pivotArea>
    </format>
    <format dxfId="48">
      <pivotArea dataOnly="0" labelOnly="1" fieldPosition="0">
        <references count="2">
          <reference field="3" count="1" selected="0">
            <x v="68"/>
          </reference>
          <reference field="8" count="1">
            <x v="10"/>
          </reference>
        </references>
      </pivotArea>
    </format>
    <format dxfId="47">
      <pivotArea dataOnly="0" labelOnly="1" fieldPosition="0">
        <references count="2">
          <reference field="3" count="1" selected="0">
            <x v="74"/>
          </reference>
          <reference field="8" count="3">
            <x v="14"/>
            <x v="16"/>
            <x v="66"/>
          </reference>
        </references>
      </pivotArea>
    </format>
    <format dxfId="46">
      <pivotArea dataOnly="0" labelOnly="1" outline="0" axis="axisValues" fieldPosition="0"/>
    </format>
    <format dxfId="45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3" type="valueGreaterThanOrEqual" evalOrder="-1" id="1" iMeasureFld="0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D58966-3021-450C-A449-C1FD2F2789D4}" name="Tabela dinâmica1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B8" firstHeaderRow="1" firstDataRow="1" firstDataCol="1" rowPageCount="4" colPageCount="1"/>
  <pivotFields count="27">
    <pivotField showAll="0"/>
    <pivotField showAll="0"/>
    <pivotField showAll="0"/>
    <pivotField showAll="0"/>
    <pivotField showAll="0"/>
    <pivotField showAll="0"/>
    <pivotField showAll="0"/>
    <pivotField axis="axisPage" showAll="0">
      <items count="6">
        <item m="1" x="3"/>
        <item m="1" x="2"/>
        <item m="1" x="1"/>
        <item x="0"/>
        <item m="1" x="4"/>
        <item t="default"/>
      </items>
    </pivotField>
    <pivotField axis="axisRow" showAll="0">
      <items count="111">
        <item m="1" x="61"/>
        <item m="1" x="74"/>
        <item m="1" x="63"/>
        <item m="1" x="56"/>
        <item m="1" x="7"/>
        <item m="1" x="7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67"/>
        <item m="1" x="44"/>
        <item m="1" x="85"/>
        <item m="1" x="94"/>
        <item m="1" x="89"/>
        <item m="1" x="91"/>
        <item m="1" x="88"/>
        <item m="1" x="10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3"/>
        <item m="1" x="84"/>
        <item m="1" x="54"/>
        <item m="1" x="81"/>
        <item m="1" x="83"/>
        <item m="1" x="82"/>
        <item m="1" x="86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60"/>
        <item m="1" x="106"/>
        <item m="1" x="69"/>
        <item m="1" x="73"/>
        <item m="1" x="98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x="0"/>
        <item m="1" x="1"/>
        <item m="1" x="2"/>
        <item m="1" x="4"/>
        <item m="1" x="5"/>
        <item m="1" x="6"/>
        <item m="1" x="8"/>
        <item m="1" x="9"/>
        <item m="1" x="10"/>
        <item m="1" x="11"/>
        <item m="1" x="12"/>
        <item m="1" x="13"/>
        <item m="1" x="14"/>
        <item m="1" x="15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30"/>
        <item m="1" x="35"/>
        <item m="1" x="36"/>
        <item m="1" x="38"/>
        <item m="1" x="39"/>
        <item m="1" x="40"/>
        <item m="1" x="41"/>
        <item m="1" x="42"/>
        <item m="1" x="43"/>
        <item m="1" x="45"/>
        <item m="1" x="46"/>
        <item m="1" x="48"/>
        <item m="1" x="49"/>
        <item m="1" x="50"/>
        <item m="1" x="51"/>
        <item m="1" x="52"/>
        <item t="default"/>
      </items>
    </pivotField>
    <pivotField axis="axisPage" showAll="0">
      <items count="19">
        <item m="1" x="2"/>
        <item m="1" x="5"/>
        <item m="1" x="13"/>
        <item m="1" x="16"/>
        <item m="1" x="17"/>
        <item m="1" x="4"/>
        <item m="1" x="15"/>
        <item m="1" x="3"/>
        <item m="1" x="7"/>
        <item m="1" x="1"/>
        <item m="1" x="8"/>
        <item m="1" x="6"/>
        <item m="1" x="11"/>
        <item m="1" x="9"/>
        <item m="1" x="12"/>
        <item m="1" x="10"/>
        <item m="1" x="1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dataField="1" showAll="0"/>
    <pivotField showAll="0"/>
    <pivotField showAll="0"/>
    <pivotField numFmtId="44"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</pivotFields>
  <rowFields count="1">
    <field x="8"/>
  </rowFields>
  <rowItems count="2">
    <i>
      <x v="69"/>
    </i>
    <i t="grand">
      <x/>
    </i>
  </rowItems>
  <colItems count="1">
    <i/>
  </colItems>
  <pageFields count="4">
    <pageField fld="26" hier="-1"/>
    <pageField fld="17" item="2" hier="-1"/>
    <pageField fld="7" hier="-1"/>
    <pageField fld="9" hier="-1"/>
  </pageFields>
  <dataFields count="1">
    <dataField name="Soma de Correio" fld="20" baseField="0" baseItem="0"/>
  </dataFields>
  <formats count="9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8" type="button" dataOnly="0" labelOnly="1" outline="0" axis="axisRow" fieldPosition="0"/>
    </format>
    <format dxfId="41">
      <pivotArea dataOnly="0" labelOnly="1" fieldPosition="0">
        <references count="1">
          <reference field="8" count="13"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26"/>
            <x v="67"/>
          </reference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dataOnly="0" labelOnly="1" outline="0" fieldPosition="0">
        <references count="4">
          <reference field="7" count="1" selected="0">
            <x v="1"/>
          </reference>
          <reference field="9" count="0"/>
          <reference field="17" count="1" selected="0">
            <x v="1"/>
          </reference>
          <reference field="26" count="1" selected="0">
            <x v="1"/>
          </reference>
        </references>
      </pivotArea>
    </format>
    <format dxfId="37">
      <pivotArea dataOnly="0" labelOnly="1" outline="0" fieldPosition="0">
        <references count="4">
          <reference field="7" count="1" selected="0">
            <x v="1"/>
          </reference>
          <reference field="9" count="0"/>
          <reference field="17" count="1" selected="0">
            <x v="1"/>
          </reference>
          <reference field="26" count="1" selected="0">
            <x v="1"/>
          </reference>
        </references>
      </pivotArea>
    </format>
    <format dxfId="36">
      <pivotArea dataOnly="0" labelOnly="1" outline="0" fieldPosition="0">
        <references count="4">
          <reference field="7" count="1" selected="0">
            <x v="1"/>
          </reference>
          <reference field="9" count="0"/>
          <reference field="17" count="1" selected="0">
            <x v="1"/>
          </reference>
          <reference field="26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FB89D2-AF59-4D7C-BDC9-E79A1436DE95}" name="Tabela dinâmica2" cacheId="1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 rowHeaderCaption="Lista por Modelo">
  <location ref="A6:C8" firstHeaderRow="0" firstDataRow="1" firstDataCol="1" rowPageCount="4" colPageCount="1"/>
  <pivotFields count="27"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6">
        <item m="1" x="3"/>
        <item m="1" x="2"/>
        <item m="1" x="1"/>
        <item x="0"/>
        <item m="1" x="4"/>
        <item t="default"/>
      </items>
    </pivotField>
    <pivotField axis="axisRow" showAll="0">
      <items count="111">
        <item m="1" x="61"/>
        <item m="1" x="74"/>
        <item m="1" x="63"/>
        <item m="1" x="56"/>
        <item m="1" x="7"/>
        <item m="1" x="78"/>
        <item m="1" x="87"/>
        <item m="1" x="77"/>
        <item m="1" x="3"/>
        <item m="1" x="34"/>
        <item m="1" x="33"/>
        <item m="1" x="16"/>
        <item m="1" x="21"/>
        <item m="1" x="109"/>
        <item m="1" x="32"/>
        <item m="1" x="31"/>
        <item m="1" x="37"/>
        <item m="1" x="64"/>
        <item m="1" x="67"/>
        <item m="1" x="44"/>
        <item m="1" x="85"/>
        <item m="1" x="94"/>
        <item m="1" x="89"/>
        <item m="1" x="91"/>
        <item m="1" x="88"/>
        <item m="1" x="107"/>
        <item m="1" x="76"/>
        <item m="1" x="101"/>
        <item m="1" x="105"/>
        <item m="1" x="97"/>
        <item m="1" x="68"/>
        <item m="1" x="57"/>
        <item m="1" x="59"/>
        <item m="1" x="58"/>
        <item m="1" x="62"/>
        <item m="1" x="53"/>
        <item m="1" x="84"/>
        <item m="1" x="54"/>
        <item m="1" x="81"/>
        <item m="1" x="83"/>
        <item m="1" x="82"/>
        <item m="1" x="86"/>
        <item m="1" x="47"/>
        <item m="1" x="29"/>
        <item m="1" x="95"/>
        <item m="1" x="102"/>
        <item m="1" x="75"/>
        <item m="1" x="90"/>
        <item m="1" x="70"/>
        <item m="1" x="93"/>
        <item m="1" x="92"/>
        <item m="1" x="65"/>
        <item m="1" x="100"/>
        <item m="1" x="108"/>
        <item m="1" x="60"/>
        <item m="1" x="106"/>
        <item m="1" x="69"/>
        <item m="1" x="73"/>
        <item m="1" x="98"/>
        <item m="1" x="72"/>
        <item m="1" x="104"/>
        <item m="1" x="96"/>
        <item m="1" x="99"/>
        <item m="1" x="80"/>
        <item m="1" x="55"/>
        <item m="1" x="71"/>
        <item m="1" x="103"/>
        <item m="1" x="66"/>
        <item m="1" x="79"/>
        <item x="0"/>
        <item m="1" x="1"/>
        <item m="1" x="2"/>
        <item m="1" x="4"/>
        <item m="1" x="5"/>
        <item m="1" x="6"/>
        <item m="1" x="8"/>
        <item m="1" x="9"/>
        <item m="1" x="10"/>
        <item m="1" x="11"/>
        <item m="1" x="12"/>
        <item m="1" x="13"/>
        <item m="1" x="14"/>
        <item m="1" x="15"/>
        <item m="1" x="17"/>
        <item m="1" x="18"/>
        <item m="1" x="19"/>
        <item m="1" x="20"/>
        <item m="1" x="22"/>
        <item m="1" x="23"/>
        <item m="1" x="24"/>
        <item m="1" x="25"/>
        <item m="1" x="26"/>
        <item m="1" x="27"/>
        <item m="1" x="28"/>
        <item m="1" x="30"/>
        <item m="1" x="35"/>
        <item m="1" x="36"/>
        <item m="1" x="38"/>
        <item m="1" x="39"/>
        <item m="1" x="40"/>
        <item m="1" x="41"/>
        <item m="1" x="42"/>
        <item m="1" x="43"/>
        <item m="1" x="45"/>
        <item m="1" x="46"/>
        <item m="1" x="48"/>
        <item m="1" x="49"/>
        <item m="1" x="50"/>
        <item m="1" x="51"/>
        <item m="1" x="52"/>
        <item t="default"/>
      </items>
    </pivotField>
    <pivotField axis="axisPage" showAll="0">
      <items count="19">
        <item m="1" x="2"/>
        <item m="1" x="5"/>
        <item m="1" x="13"/>
        <item m="1" x="16"/>
        <item m="1" x="17"/>
        <item m="1" x="4"/>
        <item m="1" x="15"/>
        <item m="1" x="3"/>
        <item m="1" x="7"/>
        <item m="1" x="1"/>
        <item m="1" x="8"/>
        <item m="1" x="6"/>
        <item m="1" x="11"/>
        <item m="1" x="9"/>
        <item m="1" x="12"/>
        <item m="1" x="10"/>
        <item m="1" x="1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dataField="1" numFmtId="44" showAll="0"/>
    <pivotField showAll="0"/>
    <pivotField showAll="0"/>
    <pivotField axis="axisPage" showAll="0">
      <items count="4">
        <item m="1" x="1"/>
        <item m="1" x="2"/>
        <item x="0"/>
        <item t="default"/>
      </items>
    </pivotField>
  </pivotFields>
  <rowFields count="1">
    <field x="8"/>
  </rowFields>
  <rowItems count="2">
    <i>
      <x v="69"/>
    </i>
    <i t="grand">
      <x/>
    </i>
  </rowItems>
  <colFields count="1">
    <field x="-2"/>
  </colFields>
  <colItems count="2">
    <i>
      <x/>
    </i>
    <i i="1">
      <x v="1"/>
    </i>
  </colItems>
  <pageFields count="4">
    <pageField fld="17" item="2" hier="-1"/>
    <pageField fld="7" item="3" hier="-1"/>
    <pageField fld="9" hier="-1"/>
    <pageField fld="26" hier="-1"/>
  </pageFields>
  <dataFields count="2">
    <dataField name="Soma de Custo Total " fld="23" baseField="0" baseItem="0" numFmtId="44"/>
    <dataField name="Soma de Qtd" fld="6" baseField="0" baseItem="0"/>
  </dataFields>
  <formats count="9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8" type="button" dataOnly="0" labelOnly="1" outline="0" axis="axisRow" fieldPosition="0"/>
    </format>
    <format dxfId="32">
      <pivotArea dataOnly="0" labelOnly="1" fieldPosition="0">
        <references count="1">
          <reference field="8" count="5">
            <x v="8"/>
            <x v="10"/>
            <x v="14"/>
            <x v="16"/>
            <x v="26"/>
          </reference>
        </references>
      </pivotArea>
    </format>
    <format dxfId="31">
      <pivotArea dataOnly="0" labelOnly="1" grandRow="1" outline="0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dataOnly="0" labelOnly="1" outline="0" fieldPosition="0">
        <references count="1">
          <reference field="7" count="1">
            <x v="1"/>
          </reference>
        </references>
      </pivotArea>
    </format>
    <format dxfId="28">
      <pivotArea dataOnly="0" labelOnly="1" outline="0" fieldPosition="0">
        <references count="2">
          <reference field="7" count="1" selected="0">
            <x v="1"/>
          </reference>
          <reference field="9" count="1">
            <x v="7"/>
          </reference>
        </references>
      </pivotArea>
    </format>
    <format dxfId="27">
      <pivotArea dataOnly="0" labelOnly="1" outline="0" fieldPosition="0">
        <references count="2">
          <reference field="7" count="1" selected="0">
            <x v="1"/>
          </reference>
          <reference field="9" count="1">
            <x v="7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T_2015" displayName="AT_2015" ref="B4:AB126" totalsRowCount="1" headerRowDxfId="370" dataDxfId="369" totalsRowDxfId="367" tableBorderDxfId="368" headerRowCellStyle="Normal 2" dataCellStyle="Normal 2">
  <autoFilter ref="B4:AB125" xr:uid="{00000000-0009-0000-0100-000001000000}">
    <filterColumn colId="17">
      <customFilters>
        <customFilter operator="notEqual" val=" "/>
      </customFilters>
    </filterColumn>
  </autoFilter>
  <sortState xmlns:xlrd2="http://schemas.microsoft.com/office/spreadsheetml/2017/richdata2" ref="B5:AB120">
    <sortCondition ref="B4:B125"/>
  </sortState>
  <tableColumns count="27">
    <tableColumn id="1" xr3:uid="{00000000-0010-0000-0000-000001000000}" name="Data " totalsRowFunction="count" dataDxfId="366" totalsRowDxfId="26" dataCellStyle="Normal 2"/>
    <tableColumn id="24" xr3:uid="{00000000-0010-0000-0000-000018000000}" name="Mês" totalsRowFunction="count" dataDxfId="365" totalsRowDxfId="25" dataCellStyle="Normal 2"/>
    <tableColumn id="21" xr3:uid="{00000000-0010-0000-0000-000015000000}" name="Local" totalsRowFunction="count" dataDxfId="364" totalsRowDxfId="24" dataCellStyle="Normal 2"/>
    <tableColumn id="2" xr3:uid="{00000000-0010-0000-0000-000002000000}" name="Cliente" totalsRowFunction="count" dataDxfId="363" totalsRowDxfId="23" dataCellStyle="Normal 2"/>
    <tableColumn id="3" xr3:uid="{00000000-0010-0000-0000-000003000000}" name="Nº SAT" totalsRowFunction="count" dataDxfId="362" totalsRowDxfId="22" dataCellStyle="Normal 2"/>
    <tableColumn id="4" xr3:uid="{00000000-0010-0000-0000-000004000000}" name="Consumidor" totalsRowFunction="count" dataDxfId="361" totalsRowDxfId="21" dataCellStyle="Normal 2"/>
    <tableColumn id="5" xr3:uid="{00000000-0010-0000-0000-000005000000}" name="Qtd" totalsRowFunction="count" dataDxfId="360" totalsRowDxfId="20" dataCellStyle="Normal 2"/>
    <tableColumn id="6" xr3:uid="{00000000-0010-0000-0000-000006000000}" name="Produto" totalsRowFunction="count" dataDxfId="359" totalsRowDxfId="19" dataCellStyle="Normal 2"/>
    <tableColumn id="7" xr3:uid="{00000000-0010-0000-0000-000007000000}" name="Descrição do Produto" totalsRowFunction="count" dataDxfId="358" totalsRowDxfId="18" dataCellStyle="Normal 2"/>
    <tableColumn id="22" xr3:uid="{00000000-0010-0000-0000-000016000000}" name="Fornecedor" totalsRowFunction="count" dataDxfId="357" totalsRowDxfId="17" dataCellStyle="Normal 2"/>
    <tableColumn id="8" xr3:uid="{00000000-0010-0000-0000-000008000000}" name="Problema" totalsRowFunction="count" dataDxfId="356" totalsRowDxfId="16" dataCellStyle="Normal 2"/>
    <tableColumn id="23" xr3:uid="{00000000-0010-0000-0000-000017000000}" name="Responsável" totalsRowFunction="count" dataDxfId="355" totalsRowDxfId="15" dataCellStyle="Normal 2"/>
    <tableColumn id="9" xr3:uid="{00000000-0010-0000-0000-000009000000}" name="Defeito informado pelo cliente" totalsRowFunction="count" dataDxfId="354" totalsRowDxfId="14" dataCellStyle="Normal 2"/>
    <tableColumn id="12" xr3:uid="{00000000-0010-0000-0000-00000C000000}" name="Defeito constatado pelo técnico" totalsRowFunction="count" dataDxfId="353" totalsRowDxfId="13" dataCellStyle="Normal 2"/>
    <tableColumn id="11" xr3:uid="{00000000-0010-0000-0000-00000B000000}" name="Troca" totalsRowFunction="count" dataDxfId="352" totalsRowDxfId="12" dataCellStyle="Normal 2"/>
    <tableColumn id="10" xr3:uid="{00000000-0010-0000-0000-00000A000000}" name="Serviço executado pelo técnico" totalsRowFunction="count" dataDxfId="351" totalsRowDxfId="11" dataCellStyle="Normal 2"/>
    <tableColumn id="20" xr3:uid="{00000000-0010-0000-0000-000014000000}" name="Código do Produto" totalsRowFunction="count" dataDxfId="350" totalsRowDxfId="10" dataCellStyle="Normal 2"/>
    <tableColumn id="18" xr3:uid="{00000000-0010-0000-0000-000012000000}" name="Solicitar Reposição" totalsRowFunction="count" dataDxfId="349" totalsRowDxfId="9" dataCellStyle="Moeda"/>
    <tableColumn id="13" xr3:uid="{00000000-0010-0000-0000-00000D000000}" name="Mão de obra" totalsRowFunction="sum" dataDxfId="348" totalsRowDxfId="8" dataCellStyle="Moeda"/>
    <tableColumn id="14" xr3:uid="{00000000-0010-0000-0000-00000E000000}" name="Deslocamento" totalsRowFunction="sum" dataDxfId="347" totalsRowDxfId="7" dataCellStyle="Moeda"/>
    <tableColumn id="15" xr3:uid="{00000000-0010-0000-0000-00000F000000}" name="Correio" totalsRowFunction="sum" dataDxfId="346" totalsRowDxfId="6" dataCellStyle="Moeda"/>
    <tableColumn id="16" xr3:uid="{00000000-0010-0000-0000-000010000000}" name="Pedágio" totalsRowFunction="sum" dataDxfId="345" totalsRowDxfId="5" dataCellStyle="Moeda"/>
    <tableColumn id="25" xr3:uid="{00000000-0010-0000-0000-000019000000}" name="Outros" totalsRowFunction="sum" dataDxfId="344" totalsRowDxfId="4" dataCellStyle="Moeda"/>
    <tableColumn id="17" xr3:uid="{00000000-0010-0000-0000-000011000000}" name="Custo Total " totalsRowFunction="sum" dataDxfId="343" totalsRowDxfId="3" dataCellStyle="Moeda">
      <calculatedColumnFormula>SUM(AT_2015[[#This Row],[Mão de obra]:[Outros]])</calculatedColumnFormula>
    </tableColumn>
    <tableColumn id="19" xr3:uid="{00000000-0010-0000-0000-000013000000}" name="Observações" dataDxfId="342" totalsRowDxfId="2" dataCellStyle="Normal 2"/>
    <tableColumn id="27" xr3:uid="{EDEE35EE-1BD3-4FD5-874A-EA12F871230E}" name="Verificador " dataDxfId="341" totalsRowDxfId="1" dataCellStyle="Normal 2">
      <calculatedColumnFormula>IF(AT_2015[[#This Row],[Correio]]&gt;0,1,0)</calculatedColumnFormula>
    </tableColumn>
    <tableColumn id="26" xr3:uid="{32F06622-0E49-4DA5-871B-1D6E436FBA08}" name="Verificador Correio" dataDxfId="340" totalsRowDxfId="0" dataCellStyle="Normal 2">
      <calculatedColumnFormula>IF(AT_2015[[#This Row],[Correio]]&gt;0,"sim","não")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ela49" displayName="Tabela49" ref="AF21:BG33" totalsRowShown="0" headerRowDxfId="339" dataDxfId="337" headerRowBorderDxfId="338" tableBorderDxfId="336" totalsRowBorderDxfId="335" dataCellStyle="Moeda">
  <autoFilter ref="AF21:BG33" xr:uid="{00000000-0009-0000-0100-000008000000}"/>
  <tableColumns count="28">
    <tableColumn id="1" xr3:uid="{00000000-0010-0000-0100-000001000000}" name="2024" dataDxfId="334">
      <calculatedColumnFormula>Dados!AI35</calculatedColumnFormula>
    </tableColumn>
    <tableColumn id="2" xr3:uid="{00000000-0010-0000-0100-000002000000}" name="ARLIZ" dataDxfId="333" dataCellStyle="Moeda">
      <calculatedColumnFormula>Dados!AJ35</calculatedColumnFormula>
    </tableColumn>
    <tableColumn id="3" xr3:uid="{00000000-0010-0000-0100-000003000000}" name="CAMOMIL " dataDxfId="332" dataCellStyle="Moeda">
      <calculatedColumnFormula>Dados!AK35</calculatedColumnFormula>
    </tableColumn>
    <tableColumn id="4" xr3:uid="{00000000-0010-0000-0100-000004000000}" name="COMPANY" dataDxfId="331" dataCellStyle="Moeda">
      <calculatedColumnFormula>Dados!AL35</calculatedColumnFormula>
    </tableColumn>
    <tableColumn id="5" xr3:uid="{00000000-0010-0000-0100-000005000000}" name="DALCOMADE" dataDxfId="330" dataCellStyle="Moeda">
      <calculatedColumnFormula>Dados!AM35</calculatedColumnFormula>
    </tableColumn>
    <tableColumn id="6" xr3:uid="{00000000-0010-0000-0100-000006000000}" name="EUCATEX" dataDxfId="329" dataCellStyle="Moeda">
      <calculatedColumnFormula>Dados!AN35</calculatedColumnFormula>
    </tableColumn>
    <tableColumn id="7" xr3:uid="{00000000-0010-0000-0100-000007000000}" name="GN-MADEIRAS" dataDxfId="328" dataCellStyle="Moeda">
      <calculatedColumnFormula>Dados!AO35</calculatedColumnFormula>
    </tableColumn>
    <tableColumn id="8" xr3:uid="{00000000-0010-0000-0100-000008000000}" name="IDEAL" dataDxfId="327" dataCellStyle="Moeda">
      <calculatedColumnFormula>Dados!AP35</calculatedColumnFormula>
    </tableColumn>
    <tableColumn id="9" xr3:uid="{00000000-0010-0000-0100-000009000000}" name="IRMÃS NAVAS" dataDxfId="326" dataCellStyle="Moeda">
      <calculatedColumnFormula>Dados!AQ35</calculatedColumnFormula>
    </tableColumn>
    <tableColumn id="10" xr3:uid="{00000000-0010-0000-0100-00000A000000}" name="IMPEL" dataDxfId="325" dataCellStyle="Moeda">
      <calculatedColumnFormula>Dados!AR35</calculatedColumnFormula>
    </tableColumn>
    <tableColumn id="11" xr3:uid="{00000000-0010-0000-0100-00000B000000}" name="RODEIO" dataDxfId="324" dataCellStyle="Moeda">
      <calculatedColumnFormula>Dados!AS35</calculatedColumnFormula>
    </tableColumn>
    <tableColumn id="12" xr3:uid="{00000000-0010-0000-0100-00000C000000}" name="SUL PORTAS" dataDxfId="323" dataCellStyle="Moeda">
      <calculatedColumnFormula>Dados!AT35</calculatedColumnFormula>
    </tableColumn>
    <tableColumn id="13" xr3:uid="{00000000-0010-0000-0100-00000D000000}" name="MAD CASTOR" dataDxfId="322" dataCellStyle="Moeda">
      <calculatedColumnFormula>Dados!AU35</calculatedColumnFormula>
    </tableColumn>
    <tableColumn id="14" xr3:uid="{00000000-0010-0000-0100-00000E000000}" name="WILLIAM SHULL" dataDxfId="321" dataCellStyle="Moeda">
      <calculatedColumnFormula>Dados!AV35</calculatedColumnFormula>
    </tableColumn>
    <tableColumn id="15" xr3:uid="{00000000-0010-0000-0100-00000F000000}" name="MGM" dataDxfId="320" dataCellStyle="Moeda">
      <calculatedColumnFormula>Dados!AW35</calculatedColumnFormula>
    </tableColumn>
    <tableColumn id="16" xr3:uid="{00000000-0010-0000-0100-000010000000}" name="NAVAS" dataDxfId="319" dataCellStyle="Moeda">
      <calculatedColumnFormula>Dados!AX35</calculatedColumnFormula>
    </tableColumn>
    <tableColumn id="17" xr3:uid="{00000000-0010-0000-0100-000011000000}" name="OJ CHUANTS " dataDxfId="318" dataCellStyle="Moeda">
      <calculatedColumnFormula>Dados!AY35</calculatedColumnFormula>
    </tableColumn>
    <tableColumn id="18" xr3:uid="{00000000-0010-0000-0100-000012000000}" name="PIANCE" dataDxfId="317" dataCellStyle="Moeda">
      <calculatedColumnFormula>Dados!AZ35</calculatedColumnFormula>
    </tableColumn>
    <tableColumn id="19" xr3:uid="{00000000-0010-0000-0100-000013000000}" name="POLTRONIERI" dataDxfId="316" dataCellStyle="Moeda">
      <calculatedColumnFormula>Dados!BA35</calculatedColumnFormula>
    </tableColumn>
    <tableColumn id="20" xr3:uid="{00000000-0010-0000-0100-000014000000}" name="PORTO UNIÃO " dataDxfId="315" dataCellStyle="Moeda">
      <calculatedColumnFormula>Dados!BB35</calculatedColumnFormula>
    </tableColumn>
    <tableColumn id="21" xr3:uid="{00000000-0010-0000-0100-000015000000}" name="PRESOTTO" dataDxfId="314" dataCellStyle="Moeda">
      <calculatedColumnFormula>Dados!BC35</calculatedColumnFormula>
    </tableColumn>
    <tableColumn id="22" xr3:uid="{00000000-0010-0000-0100-000016000000}" name="RIVA" dataDxfId="313" dataCellStyle="Moeda">
      <calculatedColumnFormula>Dados!BD35</calculatedColumnFormula>
    </tableColumn>
    <tableColumn id="23" xr3:uid="{00000000-0010-0000-0100-000017000000}" name="SANCHES" dataDxfId="312" dataCellStyle="Moeda">
      <calculatedColumnFormula>Dados!BE35</calculatedColumnFormula>
    </tableColumn>
    <tableColumn id="24" xr3:uid="{00000000-0010-0000-0100-000018000000}" name="STAM" dataDxfId="311" dataCellStyle="Moeda">
      <calculatedColumnFormula>Dados!BF35</calculatedColumnFormula>
    </tableColumn>
    <tableColumn id="25" xr3:uid="{00000000-0010-0000-0100-000019000000}" name="JJ BATENTES" dataDxfId="310" dataCellStyle="Moeda">
      <calculatedColumnFormula>Dados!BG35</calculatedColumnFormula>
    </tableColumn>
    <tableColumn id="26" xr3:uid="{00000000-0010-0000-0100-00001A000000}" name="ALAMO" dataDxfId="309" dataCellStyle="Moeda">
      <calculatedColumnFormula>Dados!BH35</calculatedColumnFormula>
    </tableColumn>
    <tableColumn id="27" xr3:uid="{00000000-0010-0000-0100-00001B000000}" name="ALUMINIO 2A" dataDxfId="308" dataCellStyle="Moeda">
      <calculatedColumnFormula>Dados!BI35</calculatedColumnFormula>
    </tableColumn>
    <tableColumn id="28" xr3:uid="{00000000-0010-0000-0100-00001C000000}" name="UNIPORTAS" dataDxfId="307" dataCellStyle="Moeda">
      <calculatedColumnFormula>Dados!BJ35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a5" displayName="Tabela5" ref="A39:AB51" totalsRowShown="0" headerRowDxfId="306" dataDxfId="304" headerRowBorderDxfId="305" tableBorderDxfId="303" totalsRowBorderDxfId="302" dataCellStyle="Moeda">
  <autoFilter ref="A39:AB51" xr:uid="{00000000-0009-0000-0100-000005000000}"/>
  <tableColumns count="28">
    <tableColumn id="1" xr3:uid="{00000000-0010-0000-0200-000001000000}" name="2024" dataDxfId="301">
      <calculatedColumnFormula>Dados!D5</calculatedColumnFormula>
    </tableColumn>
    <tableColumn id="2" xr3:uid="{00000000-0010-0000-0200-000002000000}" name="ARLIZ" dataDxfId="300" dataCellStyle="Moeda">
      <calculatedColumnFormula>Dados!E5</calculatedColumnFormula>
    </tableColumn>
    <tableColumn id="3" xr3:uid="{00000000-0010-0000-0200-000003000000}" name="CAMOMIL " dataDxfId="299" dataCellStyle="Moeda">
      <calculatedColumnFormula>Dados!F5</calculatedColumnFormula>
    </tableColumn>
    <tableColumn id="4" xr3:uid="{00000000-0010-0000-0200-000004000000}" name="COMPANY" dataDxfId="298" dataCellStyle="Moeda">
      <calculatedColumnFormula>Dados!G5</calculatedColumnFormula>
    </tableColumn>
    <tableColumn id="5" xr3:uid="{00000000-0010-0000-0200-000005000000}" name="DALCOMADE" dataDxfId="297" dataCellStyle="Moeda">
      <calculatedColumnFormula>Dados!H5</calculatedColumnFormula>
    </tableColumn>
    <tableColumn id="6" xr3:uid="{00000000-0010-0000-0200-000006000000}" name="EUCATEX" dataDxfId="296" dataCellStyle="Moeda">
      <calculatedColumnFormula>Dados!I5</calculatedColumnFormula>
    </tableColumn>
    <tableColumn id="7" xr3:uid="{00000000-0010-0000-0200-000007000000}" name="GN-MADEIRAS" dataDxfId="295" dataCellStyle="Moeda">
      <calculatedColumnFormula>Dados!J5</calculatedColumnFormula>
    </tableColumn>
    <tableColumn id="8" xr3:uid="{00000000-0010-0000-0200-000008000000}" name="IDEAL" dataDxfId="294" dataCellStyle="Moeda">
      <calculatedColumnFormula>Dados!K5</calculatedColumnFormula>
    </tableColumn>
    <tableColumn id="9" xr3:uid="{00000000-0010-0000-0200-000009000000}" name="IRMÃS NAVAS" dataDxfId="293" dataCellStyle="Moeda">
      <calculatedColumnFormula>Dados!L5</calculatedColumnFormula>
    </tableColumn>
    <tableColumn id="10" xr3:uid="{00000000-0010-0000-0200-00000A000000}" name="IMPEL" dataDxfId="292" dataCellStyle="Moeda">
      <calculatedColumnFormula>Dados!M5</calculatedColumnFormula>
    </tableColumn>
    <tableColumn id="11" xr3:uid="{00000000-0010-0000-0200-00000B000000}" name="RODEIO" dataDxfId="291" dataCellStyle="Moeda">
      <calculatedColumnFormula>Dados!N5</calculatedColumnFormula>
    </tableColumn>
    <tableColumn id="12" xr3:uid="{00000000-0010-0000-0200-00000C000000}" name="SUL PORTAS" dataDxfId="290" dataCellStyle="Moeda">
      <calculatedColumnFormula>Dados!O5</calculatedColumnFormula>
    </tableColumn>
    <tableColumn id="13" xr3:uid="{00000000-0010-0000-0200-00000D000000}" name="MAD CASTOR" dataDxfId="289" dataCellStyle="Moeda">
      <calculatedColumnFormula>Dados!P5</calculatedColumnFormula>
    </tableColumn>
    <tableColumn id="14" xr3:uid="{00000000-0010-0000-0200-00000E000000}" name="WILLIAM SHULL" dataDxfId="288" dataCellStyle="Moeda">
      <calculatedColumnFormula>Dados!Q5</calculatedColumnFormula>
    </tableColumn>
    <tableColumn id="15" xr3:uid="{00000000-0010-0000-0200-00000F000000}" name="MGM" dataDxfId="287" dataCellStyle="Moeda">
      <calculatedColumnFormula>Dados!R5</calculatedColumnFormula>
    </tableColumn>
    <tableColumn id="16" xr3:uid="{00000000-0010-0000-0200-000010000000}" name="NAVAS" dataDxfId="286" dataCellStyle="Moeda">
      <calculatedColumnFormula>Dados!S5</calculatedColumnFormula>
    </tableColumn>
    <tableColumn id="17" xr3:uid="{00000000-0010-0000-0200-000011000000}" name="OJ CHUANTS " dataDxfId="285" dataCellStyle="Moeda">
      <calculatedColumnFormula>Dados!T5</calculatedColumnFormula>
    </tableColumn>
    <tableColumn id="18" xr3:uid="{00000000-0010-0000-0200-000012000000}" name="PIANCE" dataDxfId="284" dataCellStyle="Moeda">
      <calculatedColumnFormula>Dados!U5</calculatedColumnFormula>
    </tableColumn>
    <tableColumn id="19" xr3:uid="{00000000-0010-0000-0200-000013000000}" name="POLTRONIERI" dataDxfId="283" dataCellStyle="Moeda">
      <calculatedColumnFormula>Dados!V5</calculatedColumnFormula>
    </tableColumn>
    <tableColumn id="20" xr3:uid="{00000000-0010-0000-0200-000014000000}" name="PORTO UNIÃO " dataDxfId="282" dataCellStyle="Moeda">
      <calculatedColumnFormula>Dados!W5</calculatedColumnFormula>
    </tableColumn>
    <tableColumn id="21" xr3:uid="{00000000-0010-0000-0200-000015000000}" name="PRESOTTO" dataDxfId="281" dataCellStyle="Moeda">
      <calculatedColumnFormula>Dados!X5</calculatedColumnFormula>
    </tableColumn>
    <tableColumn id="22" xr3:uid="{00000000-0010-0000-0200-000016000000}" name="RIVA" dataDxfId="280" dataCellStyle="Moeda">
      <calculatedColumnFormula>Dados!Y5</calculatedColumnFormula>
    </tableColumn>
    <tableColumn id="23" xr3:uid="{00000000-0010-0000-0200-000017000000}" name="SANCHES" dataDxfId="279" dataCellStyle="Moeda">
      <calculatedColumnFormula>Dados!Z5</calculatedColumnFormula>
    </tableColumn>
    <tableColumn id="24" xr3:uid="{00000000-0010-0000-0200-000018000000}" name="STAM" dataDxfId="278" dataCellStyle="Moeda">
      <calculatedColumnFormula>Dados!AA5</calculatedColumnFormula>
    </tableColumn>
    <tableColumn id="25" xr3:uid="{00000000-0010-0000-0200-000019000000}" name="JJ BATENTES" dataDxfId="277" dataCellStyle="Moeda">
      <calculatedColumnFormula>Dados!AB5</calculatedColumnFormula>
    </tableColumn>
    <tableColumn id="26" xr3:uid="{00000000-0010-0000-0200-00001A000000}" name="ALAMO" dataDxfId="276" dataCellStyle="Moeda">
      <calculatedColumnFormula>Dados!AC5</calculatedColumnFormula>
    </tableColumn>
    <tableColumn id="27" xr3:uid="{00000000-0010-0000-0200-00001B000000}" name="ALUMINIO 2A" dataDxfId="275" dataCellStyle="Moeda">
      <calculatedColumnFormula>Dados!AD5</calculatedColumnFormula>
    </tableColumn>
    <tableColumn id="28" xr3:uid="{00000000-0010-0000-0200-00001C000000}" name="UNIPORTAS" dataDxfId="274" dataCellStyle="Moeda">
      <calculatedColumnFormula>Dados!AE5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Tabela10" displayName="Tabela10" ref="A143:B153" totalsRowShown="0" headerRowDxfId="273" headerRowBorderDxfId="272" tableBorderDxfId="271" totalsRowBorderDxfId="270">
  <autoFilter ref="A143:B153" xr:uid="{00000000-0009-0000-0100-00000A000000}"/>
  <tableColumns count="2">
    <tableColumn id="1" xr3:uid="{00000000-0010-0000-0300-000001000000}" name="fornecedor" dataDxfId="269">
      <calculatedColumnFormula>A114</calculatedColumnFormula>
    </tableColumn>
    <tableColumn id="2" xr3:uid="{00000000-0010-0000-0300-000002000000}" name="valor" dataDxfId="268">
      <calculatedColumnFormula>B114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ela4" displayName="Tabela4" ref="A38:AB50" totalsRowShown="0" headerRowDxfId="267" dataDxfId="265" headerRowBorderDxfId="266" tableBorderDxfId="264" totalsRowBorderDxfId="263" dataCellStyle="Moeda">
  <autoFilter ref="A38:AB50" xr:uid="{00000000-0009-0000-0100-000004000000}"/>
  <tableColumns count="28">
    <tableColumn id="1" xr3:uid="{00000000-0010-0000-0400-000001000000}" name="2024" dataDxfId="262">
      <calculatedColumnFormula>Dados!D22</calculatedColumnFormula>
    </tableColumn>
    <tableColumn id="2" xr3:uid="{00000000-0010-0000-0400-000002000000}" name="ARLIZ" dataDxfId="261" dataCellStyle="Moeda">
      <calculatedColumnFormula>Dados!E22</calculatedColumnFormula>
    </tableColumn>
    <tableColumn id="3" xr3:uid="{00000000-0010-0000-0400-000003000000}" name="CAMOMIL " dataDxfId="260" dataCellStyle="Moeda">
      <calculatedColumnFormula>Dados!F22</calculatedColumnFormula>
    </tableColumn>
    <tableColumn id="4" xr3:uid="{00000000-0010-0000-0400-000004000000}" name="COMPANY" dataDxfId="259" dataCellStyle="Moeda">
      <calculatedColumnFormula>Dados!G22</calculatedColumnFormula>
    </tableColumn>
    <tableColumn id="5" xr3:uid="{00000000-0010-0000-0400-000005000000}" name="DALCOMADE" dataDxfId="258" dataCellStyle="Moeda">
      <calculatedColumnFormula>Dados!H22</calculatedColumnFormula>
    </tableColumn>
    <tableColumn id="6" xr3:uid="{00000000-0010-0000-0400-000006000000}" name="EUCATEX" dataDxfId="257" dataCellStyle="Moeda">
      <calculatedColumnFormula>Dados!I22</calculatedColumnFormula>
    </tableColumn>
    <tableColumn id="7" xr3:uid="{00000000-0010-0000-0400-000007000000}" name="GN-MADEIRAS" dataDxfId="256" dataCellStyle="Moeda">
      <calculatedColumnFormula>Dados!J22</calculatedColumnFormula>
    </tableColumn>
    <tableColumn id="8" xr3:uid="{00000000-0010-0000-0400-000008000000}" name="IDEAL" dataDxfId="255" dataCellStyle="Moeda">
      <calculatedColumnFormula>Dados!K22</calculatedColumnFormula>
    </tableColumn>
    <tableColumn id="9" xr3:uid="{00000000-0010-0000-0400-000009000000}" name="IRMÃS NAVAS" dataDxfId="254" dataCellStyle="Moeda">
      <calculatedColumnFormula>Dados!L22</calculatedColumnFormula>
    </tableColumn>
    <tableColumn id="10" xr3:uid="{00000000-0010-0000-0400-00000A000000}" name="IMPEL" dataDxfId="253" dataCellStyle="Moeda">
      <calculatedColumnFormula>Dados!M22</calculatedColumnFormula>
    </tableColumn>
    <tableColumn id="11" xr3:uid="{00000000-0010-0000-0400-00000B000000}" name="RODEIO" dataDxfId="252" dataCellStyle="Moeda">
      <calculatedColumnFormula>Dados!N22</calculatedColumnFormula>
    </tableColumn>
    <tableColumn id="12" xr3:uid="{00000000-0010-0000-0400-00000C000000}" name="SUL PORTAS" dataDxfId="251" dataCellStyle="Moeda">
      <calculatedColumnFormula>Dados!O22</calculatedColumnFormula>
    </tableColumn>
    <tableColumn id="13" xr3:uid="{00000000-0010-0000-0400-00000D000000}" name="MAD CASTOR" dataDxfId="250" dataCellStyle="Moeda">
      <calculatedColumnFormula>Dados!P22</calculatedColumnFormula>
    </tableColumn>
    <tableColumn id="14" xr3:uid="{00000000-0010-0000-0400-00000E000000}" name="WILLIAM SHULL" dataDxfId="249" dataCellStyle="Moeda">
      <calculatedColumnFormula>Dados!Q22</calculatedColumnFormula>
    </tableColumn>
    <tableColumn id="15" xr3:uid="{00000000-0010-0000-0400-00000F000000}" name="MGM" dataDxfId="248" dataCellStyle="Moeda">
      <calculatedColumnFormula>Dados!R22</calculatedColumnFormula>
    </tableColumn>
    <tableColumn id="16" xr3:uid="{00000000-0010-0000-0400-000010000000}" name="NAVAS" dataDxfId="247" dataCellStyle="Moeda">
      <calculatedColumnFormula>Dados!S22</calculatedColumnFormula>
    </tableColumn>
    <tableColumn id="17" xr3:uid="{00000000-0010-0000-0400-000011000000}" name="OJ CHUANTS " dataDxfId="246" dataCellStyle="Moeda">
      <calculatedColumnFormula>Dados!T22</calculatedColumnFormula>
    </tableColumn>
    <tableColumn id="18" xr3:uid="{00000000-0010-0000-0400-000012000000}" name="PIANCE" dataDxfId="245" dataCellStyle="Moeda">
      <calculatedColumnFormula>Dados!U22</calculatedColumnFormula>
    </tableColumn>
    <tableColumn id="19" xr3:uid="{00000000-0010-0000-0400-000013000000}" name="POLTRONIERI" dataDxfId="244" dataCellStyle="Moeda">
      <calculatedColumnFormula>Dados!V22</calculatedColumnFormula>
    </tableColumn>
    <tableColumn id="20" xr3:uid="{00000000-0010-0000-0400-000014000000}" name="PORTO UNIÃO " dataDxfId="243" dataCellStyle="Moeda">
      <calculatedColumnFormula>Dados!W22</calculatedColumnFormula>
    </tableColumn>
    <tableColumn id="21" xr3:uid="{00000000-0010-0000-0400-000015000000}" name="PRESOTTO" dataDxfId="242" dataCellStyle="Moeda">
      <calculatedColumnFormula>Dados!X22</calculatedColumnFormula>
    </tableColumn>
    <tableColumn id="22" xr3:uid="{00000000-0010-0000-0400-000016000000}" name="RIVA" dataDxfId="241" dataCellStyle="Moeda">
      <calculatedColumnFormula>Dados!Y22</calculatedColumnFormula>
    </tableColumn>
    <tableColumn id="23" xr3:uid="{00000000-0010-0000-0400-000017000000}" name="SANCHES" dataDxfId="240" dataCellStyle="Moeda">
      <calculatedColumnFormula>Dados!Z22</calculatedColumnFormula>
    </tableColumn>
    <tableColumn id="24" xr3:uid="{00000000-0010-0000-0400-000018000000}" name="STAM" dataDxfId="239" dataCellStyle="Moeda">
      <calculatedColumnFormula>Dados!AA22</calculatedColumnFormula>
    </tableColumn>
    <tableColumn id="25" xr3:uid="{00000000-0010-0000-0400-000019000000}" name="JJ BATENTES" dataDxfId="238" dataCellStyle="Moeda">
      <calculatedColumnFormula>Dados!AB22</calculatedColumnFormula>
    </tableColumn>
    <tableColumn id="26" xr3:uid="{00000000-0010-0000-0400-00001A000000}" name="ALAMO" dataDxfId="237" dataCellStyle="Moeda">
      <calculatedColumnFormula>Dados!AC22</calculatedColumnFormula>
    </tableColumn>
    <tableColumn id="27" xr3:uid="{00000000-0010-0000-0400-00001B000000}" name="ALUMINIO 2A" dataDxfId="236" dataCellStyle="Moeda">
      <calculatedColumnFormula>Dados!AD22</calculatedColumnFormula>
    </tableColumn>
    <tableColumn id="28" xr3:uid="{00000000-0010-0000-0400-00001C000000}" name="UNIPORTAS" dataDxfId="235" dataCellStyle="Moeda">
      <calculatedColumnFormula>Dados!AE22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10" displayName="Tabela410" ref="A88:AB100" totalsRowShown="0" headerRowDxfId="234" dataDxfId="232" headerRowBorderDxfId="233" tableBorderDxfId="231" totalsRowBorderDxfId="230" dataCellStyle="Moeda">
  <autoFilter ref="A88:AB100" xr:uid="{00000000-0009-0000-0100-000009000000}"/>
  <tableColumns count="28">
    <tableColumn id="1" xr3:uid="{00000000-0010-0000-0500-000001000000}" name="2024" dataDxfId="229">
      <calculatedColumnFormula>A39</calculatedColumnFormula>
    </tableColumn>
    <tableColumn id="2" xr3:uid="{00000000-0010-0000-0500-000002000000}" name="ARLIZ" dataDxfId="228" dataCellStyle="Moeda">
      <calculatedColumnFormula>B39</calculatedColumnFormula>
    </tableColumn>
    <tableColumn id="3" xr3:uid="{00000000-0010-0000-0500-000003000000}" name="CAMOMIL " dataDxfId="227" dataCellStyle="Moeda">
      <calculatedColumnFormula>C39</calculatedColumnFormula>
    </tableColumn>
    <tableColumn id="4" xr3:uid="{00000000-0010-0000-0500-000004000000}" name="COMPANY" dataDxfId="226" dataCellStyle="Moeda">
      <calculatedColumnFormula>D39</calculatedColumnFormula>
    </tableColumn>
    <tableColumn id="5" xr3:uid="{00000000-0010-0000-0500-000005000000}" name="DALCOMADE" dataDxfId="225" dataCellStyle="Moeda">
      <calculatedColumnFormula>E39</calculatedColumnFormula>
    </tableColumn>
    <tableColumn id="6" xr3:uid="{00000000-0010-0000-0500-000006000000}" name="EUCATEX" dataDxfId="224" dataCellStyle="Moeda">
      <calculatedColumnFormula>F39</calculatedColumnFormula>
    </tableColumn>
    <tableColumn id="7" xr3:uid="{00000000-0010-0000-0500-000007000000}" name="GN-MADEIRAS" dataDxfId="223" dataCellStyle="Moeda">
      <calculatedColumnFormula>G39</calculatedColumnFormula>
    </tableColumn>
    <tableColumn id="8" xr3:uid="{00000000-0010-0000-0500-000008000000}" name="IDEAL" dataDxfId="222" dataCellStyle="Moeda">
      <calculatedColumnFormula>H39</calculatedColumnFormula>
    </tableColumn>
    <tableColumn id="9" xr3:uid="{00000000-0010-0000-0500-000009000000}" name="IRMÃS NAVAS" dataDxfId="221" dataCellStyle="Moeda">
      <calculatedColumnFormula>I39</calculatedColumnFormula>
    </tableColumn>
    <tableColumn id="10" xr3:uid="{00000000-0010-0000-0500-00000A000000}" name="IMPEL" dataDxfId="220" dataCellStyle="Moeda">
      <calculatedColumnFormula>J39</calculatedColumnFormula>
    </tableColumn>
    <tableColumn id="11" xr3:uid="{00000000-0010-0000-0500-00000B000000}" name="RODEIO" dataDxfId="219" dataCellStyle="Moeda">
      <calculatedColumnFormula>K39</calculatedColumnFormula>
    </tableColumn>
    <tableColumn id="12" xr3:uid="{00000000-0010-0000-0500-00000C000000}" name="SUL PORTAS" dataDxfId="218" dataCellStyle="Moeda">
      <calculatedColumnFormula>L39</calculatedColumnFormula>
    </tableColumn>
    <tableColumn id="13" xr3:uid="{00000000-0010-0000-0500-00000D000000}" name="MAD CASTOR" dataDxfId="217" dataCellStyle="Moeda">
      <calculatedColumnFormula>M39</calculatedColumnFormula>
    </tableColumn>
    <tableColumn id="14" xr3:uid="{00000000-0010-0000-0500-00000E000000}" name="WILLIAM SHULL" dataDxfId="216" dataCellStyle="Moeda">
      <calculatedColumnFormula>N39</calculatedColumnFormula>
    </tableColumn>
    <tableColumn id="15" xr3:uid="{00000000-0010-0000-0500-00000F000000}" name="MGM" dataDxfId="215" dataCellStyle="Moeda">
      <calculatedColumnFormula>O39</calculatedColumnFormula>
    </tableColumn>
    <tableColumn id="16" xr3:uid="{00000000-0010-0000-0500-000010000000}" name="NAVAS" dataDxfId="214" dataCellStyle="Moeda">
      <calculatedColumnFormula>P39</calculatedColumnFormula>
    </tableColumn>
    <tableColumn id="17" xr3:uid="{00000000-0010-0000-0500-000011000000}" name="OJ CHUANTS " dataDxfId="213" dataCellStyle="Moeda">
      <calculatedColumnFormula>Q39</calculatedColumnFormula>
    </tableColumn>
    <tableColumn id="18" xr3:uid="{00000000-0010-0000-0500-000012000000}" name="PIANCE" dataDxfId="212" dataCellStyle="Moeda">
      <calculatedColumnFormula>R39</calculatedColumnFormula>
    </tableColumn>
    <tableColumn id="19" xr3:uid="{00000000-0010-0000-0500-000013000000}" name="POLTRONIERI" dataDxfId="211" dataCellStyle="Moeda">
      <calculatedColumnFormula>S39</calculatedColumnFormula>
    </tableColumn>
    <tableColumn id="20" xr3:uid="{00000000-0010-0000-0500-000014000000}" name="PORTO UNIÃO " dataDxfId="210" dataCellStyle="Moeda">
      <calculatedColumnFormula>T39</calculatedColumnFormula>
    </tableColumn>
    <tableColumn id="21" xr3:uid="{00000000-0010-0000-0500-000015000000}" name="PRESOTTO" dataDxfId="209" dataCellStyle="Moeda">
      <calculatedColumnFormula>U39</calculatedColumnFormula>
    </tableColumn>
    <tableColumn id="22" xr3:uid="{00000000-0010-0000-0500-000016000000}" name="RIVA" dataDxfId="208" dataCellStyle="Moeda">
      <calculatedColumnFormula>V39</calculatedColumnFormula>
    </tableColumn>
    <tableColumn id="23" xr3:uid="{00000000-0010-0000-0500-000017000000}" name="SANCHES" dataDxfId="207" dataCellStyle="Moeda">
      <calculatedColumnFormula>W39</calculatedColumnFormula>
    </tableColumn>
    <tableColumn id="24" xr3:uid="{00000000-0010-0000-0500-000018000000}" name="STAM" dataDxfId="206" dataCellStyle="Moeda">
      <calculatedColumnFormula>X39</calculatedColumnFormula>
    </tableColumn>
    <tableColumn id="25" xr3:uid="{00000000-0010-0000-0500-000019000000}" name="JJ BATENTES" dataDxfId="205" dataCellStyle="Moeda">
      <calculatedColumnFormula>Y39</calculatedColumnFormula>
    </tableColumn>
    <tableColumn id="26" xr3:uid="{00000000-0010-0000-0500-00001A000000}" name="ALAMO" dataDxfId="204" dataCellStyle="Moeda">
      <calculatedColumnFormula>Z39</calculatedColumnFormula>
    </tableColumn>
    <tableColumn id="27" xr3:uid="{00000000-0010-0000-0500-00001B000000}" name="ALUMINIO 2A" dataDxfId="203" dataCellStyle="Moeda">
      <calculatedColumnFormula>AA39</calculatedColumnFormula>
    </tableColumn>
    <tableColumn id="28" xr3:uid="{00000000-0010-0000-0500-00001C000000}" name="UNIPORTAS" dataDxfId="202" dataCellStyle="Moeda">
      <calculatedColumnFormula>AB39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ela2" displayName="Tabela2" ref="A201:N228" totalsRowShown="0" headerRowDxfId="201" dataDxfId="199" headerRowBorderDxfId="200" tableBorderDxfId="198">
  <autoFilter ref="A201:N228" xr:uid="{00000000-0009-0000-0100-000002000000}"/>
  <tableColumns count="14">
    <tableColumn id="1" xr3:uid="{00000000-0010-0000-0600-000001000000}" name="Fornecedor" dataDxfId="197"/>
    <tableColumn id="2" xr3:uid="{00000000-0010-0000-0600-000002000000}" name="janeiro-24" dataDxfId="196"/>
    <tableColumn id="3" xr3:uid="{00000000-0010-0000-0600-000003000000}" name="fevereiro-24" dataDxfId="195"/>
    <tableColumn id="4" xr3:uid="{00000000-0010-0000-0600-000004000000}" name="março-24" dataDxfId="194"/>
    <tableColumn id="5" xr3:uid="{00000000-0010-0000-0600-000005000000}" name="abril-24" dataDxfId="193"/>
    <tableColumn id="6" xr3:uid="{00000000-0010-0000-0600-000006000000}" name="maio-24" dataDxfId="192"/>
    <tableColumn id="7" xr3:uid="{00000000-0010-0000-0600-000007000000}" name="junho-24" dataDxfId="191"/>
    <tableColumn id="8" xr3:uid="{00000000-0010-0000-0600-000008000000}" name="julho-24" dataDxfId="190"/>
    <tableColumn id="9" xr3:uid="{00000000-0010-0000-0600-000009000000}" name="agosto-24" dataDxfId="189"/>
    <tableColumn id="10" xr3:uid="{00000000-0010-0000-0600-00000A000000}" name="setembro-24" dataDxfId="188"/>
    <tableColumn id="11" xr3:uid="{00000000-0010-0000-0600-00000B000000}" name="outubro-24" dataDxfId="187"/>
    <tableColumn id="12" xr3:uid="{00000000-0010-0000-0600-00000C000000}" name="novembro-24" dataDxfId="186"/>
    <tableColumn id="13" xr3:uid="{00000000-0010-0000-0600-00000D000000}" name="dezembro-24" dataDxfId="185"/>
    <tableColumn id="14" xr3:uid="{00000000-0010-0000-0600-00000E000000}" name="TOTAL" dataDxfId="184">
      <calculatedColumnFormula>N107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ela6" displayName="Tabela6" ref="A273:B281" totalsRowShown="0" headerRowDxfId="183" headerRowBorderDxfId="182" tableBorderDxfId="181" totalsRowBorderDxfId="180">
  <autoFilter ref="A273:B281" xr:uid="{00000000-0009-0000-0100-000006000000}"/>
  <tableColumns count="2">
    <tableColumn id="1" xr3:uid="{00000000-0010-0000-0700-000001000000}" name="Fornecedor" dataDxfId="179">
      <calculatedColumnFormula>IF(B274&gt;0,A241," ")</calculatedColumnFormula>
    </tableColumn>
    <tableColumn id="2" xr3:uid="{00000000-0010-0000-0700-000002000000}" name="Valor" dataDxfId="178">
      <calculatedColumnFormula>B241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Tabela3" displayName="Tabela3" ref="A37:AB49" totalsRowShown="0" headerRowDxfId="177" dataDxfId="176" tableBorderDxfId="175" dataCellStyle="Moeda">
  <autoFilter ref="A37:AB49" xr:uid="{00000000-0009-0000-0100-000003000000}"/>
  <tableColumns count="28">
    <tableColumn id="1" xr3:uid="{00000000-0010-0000-0800-000001000000}" name="2024" dataDxfId="174">
      <calculatedColumnFormula>Dados!D39</calculatedColumnFormula>
    </tableColumn>
    <tableColumn id="2" xr3:uid="{00000000-0010-0000-0800-000002000000}" name="ARLIZ" dataDxfId="173" dataCellStyle="Moeda">
      <calculatedColumnFormula>Dados!E39</calculatedColumnFormula>
    </tableColumn>
    <tableColumn id="3" xr3:uid="{00000000-0010-0000-0800-000003000000}" name="CAMOMIL " dataDxfId="172" dataCellStyle="Moeda">
      <calculatedColumnFormula>Dados!F39</calculatedColumnFormula>
    </tableColumn>
    <tableColumn id="4" xr3:uid="{00000000-0010-0000-0800-000004000000}" name="COMPANY" dataDxfId="171" dataCellStyle="Moeda">
      <calculatedColumnFormula>Dados!G39</calculatedColumnFormula>
    </tableColumn>
    <tableColumn id="5" xr3:uid="{00000000-0010-0000-0800-000005000000}" name="DALCOMADE" dataDxfId="170" dataCellStyle="Moeda">
      <calculatedColumnFormula>Dados!H39</calculatedColumnFormula>
    </tableColumn>
    <tableColumn id="6" xr3:uid="{00000000-0010-0000-0800-000006000000}" name="EUCATEX" dataDxfId="169" dataCellStyle="Moeda">
      <calculatedColumnFormula>Dados!I39</calculatedColumnFormula>
    </tableColumn>
    <tableColumn id="7" xr3:uid="{00000000-0010-0000-0800-000007000000}" name="GN-MADEIRAS" dataDxfId="168" dataCellStyle="Moeda">
      <calculatedColumnFormula>Dados!J39</calculatedColumnFormula>
    </tableColumn>
    <tableColumn id="8" xr3:uid="{00000000-0010-0000-0800-000008000000}" name="IDEAL" dataDxfId="167" dataCellStyle="Moeda">
      <calculatedColumnFormula>Dados!K39</calculatedColumnFormula>
    </tableColumn>
    <tableColumn id="9" xr3:uid="{00000000-0010-0000-0800-000009000000}" name="IRMÃS NAVAS" dataDxfId="166" dataCellStyle="Moeda">
      <calculatedColumnFormula>Dados!L39</calculatedColumnFormula>
    </tableColumn>
    <tableColumn id="10" xr3:uid="{00000000-0010-0000-0800-00000A000000}" name="IMPEL" dataDxfId="165" dataCellStyle="Moeda">
      <calculatedColumnFormula>Dados!M39</calculatedColumnFormula>
    </tableColumn>
    <tableColumn id="11" xr3:uid="{00000000-0010-0000-0800-00000B000000}" name="RODEIO" dataDxfId="164" dataCellStyle="Moeda">
      <calculatedColumnFormula>Dados!N39</calculatedColumnFormula>
    </tableColumn>
    <tableColumn id="12" xr3:uid="{00000000-0010-0000-0800-00000C000000}" name="SUL PORTAS" dataDxfId="163" dataCellStyle="Moeda">
      <calculatedColumnFormula>Dados!O39</calculatedColumnFormula>
    </tableColumn>
    <tableColumn id="13" xr3:uid="{00000000-0010-0000-0800-00000D000000}" name="MAD CASTOR" dataDxfId="162" dataCellStyle="Moeda">
      <calculatedColumnFormula>Dados!P39</calculatedColumnFormula>
    </tableColumn>
    <tableColumn id="14" xr3:uid="{00000000-0010-0000-0800-00000E000000}" name="WILLIAM SHULL" dataDxfId="161" dataCellStyle="Moeda">
      <calculatedColumnFormula>Dados!Q39</calculatedColumnFormula>
    </tableColumn>
    <tableColumn id="15" xr3:uid="{00000000-0010-0000-0800-00000F000000}" name="MGM" dataDxfId="160" dataCellStyle="Moeda">
      <calculatedColumnFormula>Dados!R39</calculatedColumnFormula>
    </tableColumn>
    <tableColumn id="16" xr3:uid="{00000000-0010-0000-0800-000010000000}" name="NAVAS" dataDxfId="159" dataCellStyle="Moeda">
      <calculatedColumnFormula>Dados!S39</calculatedColumnFormula>
    </tableColumn>
    <tableColumn id="17" xr3:uid="{00000000-0010-0000-0800-000011000000}" name="OJ CHUANTS " dataDxfId="158" dataCellStyle="Moeda">
      <calculatedColumnFormula>Dados!T39</calculatedColumnFormula>
    </tableColumn>
    <tableColumn id="18" xr3:uid="{00000000-0010-0000-0800-000012000000}" name="PIANCE" dataDxfId="157" dataCellStyle="Moeda">
      <calculatedColumnFormula>Dados!U39</calculatedColumnFormula>
    </tableColumn>
    <tableColumn id="19" xr3:uid="{00000000-0010-0000-0800-000013000000}" name="POLTRONIERI" dataDxfId="156" dataCellStyle="Moeda">
      <calculatedColumnFormula>Dados!V39</calculatedColumnFormula>
    </tableColumn>
    <tableColumn id="20" xr3:uid="{00000000-0010-0000-0800-000014000000}" name="PORTO UNIÃO " dataDxfId="155" dataCellStyle="Moeda">
      <calculatedColumnFormula>Dados!W39</calculatedColumnFormula>
    </tableColumn>
    <tableColumn id="21" xr3:uid="{00000000-0010-0000-0800-000015000000}" name="PRESOTTO" dataDxfId="154" dataCellStyle="Moeda">
      <calculatedColumnFormula>Dados!X39</calculatedColumnFormula>
    </tableColumn>
    <tableColumn id="22" xr3:uid="{00000000-0010-0000-0800-000016000000}" name="RIVA" dataDxfId="153" dataCellStyle="Moeda">
      <calculatedColumnFormula>Dados!Y39</calculatedColumnFormula>
    </tableColumn>
    <tableColumn id="23" xr3:uid="{00000000-0010-0000-0800-000017000000}" name="SANCHES" dataDxfId="152" dataCellStyle="Moeda">
      <calculatedColumnFormula>Dados!Z39</calculatedColumnFormula>
    </tableColumn>
    <tableColumn id="24" xr3:uid="{00000000-0010-0000-0800-000018000000}" name="STAM" dataDxfId="151" dataCellStyle="Moeda">
      <calculatedColumnFormula>Dados!AA39</calculatedColumnFormula>
    </tableColumn>
    <tableColumn id="25" xr3:uid="{00000000-0010-0000-0800-000019000000}" name="JJ BATENTES" dataDxfId="150" dataCellStyle="Moeda">
      <calculatedColumnFormula>Dados!AB39</calculatedColumnFormula>
    </tableColumn>
    <tableColumn id="26" xr3:uid="{00000000-0010-0000-0800-00001A000000}" name="ALAMO" dataDxfId="149" dataCellStyle="Moeda">
      <calculatedColumnFormula>Dados!AC39</calculatedColumnFormula>
    </tableColumn>
    <tableColumn id="27" xr3:uid="{00000000-0010-0000-0800-00001B000000}" name="ALUMINIO 2A" dataDxfId="148" dataCellStyle="Moeda">
      <calculatedColumnFormula>Dados!AD39</calculatedColumnFormula>
    </tableColumn>
    <tableColumn id="28" xr3:uid="{00000000-0010-0000-0800-00001C000000}" name="UNIPORTAS" dataDxfId="147" dataCellStyle="Moeda">
      <calculatedColumnFormula>Dados!AE39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Tabela7" displayName="Tabela7" ref="A219:B223" totalsRowShown="0" headerRowDxfId="146" headerRowBorderDxfId="145" tableBorderDxfId="144" totalsRowBorderDxfId="143">
  <autoFilter ref="A219:B223" xr:uid="{00000000-0009-0000-0100-000007000000}"/>
  <tableColumns count="2">
    <tableColumn id="1" xr3:uid="{00000000-0010-0000-0900-000001000000}" name="Fornecedor" dataDxfId="142">
      <calculatedColumnFormula>A181</calculatedColumnFormula>
    </tableColumn>
    <tableColumn id="2" xr3:uid="{00000000-0010-0000-0900-000002000000}" name="Valor" dataDxfId="141">
      <calculatedColumnFormula>B181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0" dT="2026-03-23T17:42:57.11" personId="{8FD41CDC-708D-4FD1-9AD4-2C7B9F032C9F}" id="{05D90918-F048-4549-8EE6-DC890D27DC19}">
    <text xml:space="preserve">Feito o envio somente de 1 fecho
</text>
  </threadedComment>
  <threadedComment ref="AQ17" dT="2024-03-11T11:54:29.41" personId="{9C4A6972-C3AF-4A95-BE47-B390B25F28EE}" id="{1EA452A8-1568-4E7E-A6DD-751A676E3245}">
    <text>Menaco por William shuLL</text>
  </threadedComment>
  <threadedComment ref="V29" dT="2026-04-10T18:50:07.14" personId="{8FD41CDC-708D-4FD1-9AD4-2C7B9F032C9F}" id="{D6D0EAFF-E858-4BBD-9676-BD0E7D5992BB}">
    <text>FEITO O RESSARCIMENTO DO VALOR DA FECHADURA</text>
  </threadedComment>
  <threadedComment ref="AQ29" dT="2024-03-11T11:55:13.22" personId="{9C4A6972-C3AF-4A95-BE47-B390B25F28EE}" id="{CB1D6D48-CE9A-4469-A520-8CFC829092E2}">
    <text>CALMARJA por ALAMO</text>
  </threadedComment>
  <threadedComment ref="V111" dT="2026-03-23T17:42:57.11" personId="{8FD41CDC-708D-4FD1-9AD4-2C7B9F032C9F}" id="{058FB43B-081D-4CEA-B618-06E598E2A0DE}">
    <text xml:space="preserve">Feito o envio somente de 1 fecho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Y2:AI10"/>
  <sheetViews>
    <sheetView showGridLines="0" showRowColHeaders="0" zoomScaleNormal="100" workbookViewId="0">
      <pane ySplit="35" topLeftCell="A39" activePane="bottomLeft" state="frozen"/>
      <selection pane="bottomLeft"/>
    </sheetView>
  </sheetViews>
  <sheetFormatPr defaultRowHeight="15"/>
  <cols>
    <col min="1" max="17" width="9.140625" style="39"/>
    <col min="18" max="18" width="10.7109375" style="39" bestFit="1" customWidth="1"/>
    <col min="19" max="16384" width="9.140625" style="39"/>
  </cols>
  <sheetData>
    <row r="2" spans="25:35">
      <c r="Y2" s="160"/>
      <c r="AI2" s="39">
        <f>'SAT 2025'!F1</f>
        <v>31</v>
      </c>
    </row>
    <row r="10" spans="25:35">
      <c r="Z10" s="39" t="s">
        <v>172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3:B3"/>
  <sheetViews>
    <sheetView workbookViewId="0">
      <selection activeCell="B7" sqref="B7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88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3:B4"/>
  <sheetViews>
    <sheetView workbookViewId="0">
      <selection activeCell="B12" sqref="B12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88</v>
      </c>
    </row>
    <row r="4" spans="1:2">
      <c r="A4" s="65" t="s">
        <v>86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3:B5"/>
  <sheetViews>
    <sheetView workbookViewId="0">
      <selection activeCell="N10" sqref="N10"/>
    </sheetView>
  </sheetViews>
  <sheetFormatPr defaultRowHeight="15"/>
  <cols>
    <col min="1" max="1" width="18" bestFit="1" customWidth="1"/>
    <col min="2" max="2" width="12.28515625" bestFit="1" customWidth="1"/>
  </cols>
  <sheetData>
    <row r="3" spans="1:2">
      <c r="A3" s="64" t="s">
        <v>85</v>
      </c>
      <c r="B3" t="s">
        <v>87</v>
      </c>
    </row>
    <row r="4" spans="1:2">
      <c r="A4" s="65" t="s">
        <v>98</v>
      </c>
    </row>
    <row r="5" spans="1:2">
      <c r="A5" s="65" t="s">
        <v>86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3:B5"/>
  <sheetViews>
    <sheetView workbookViewId="0">
      <selection activeCell="B28" sqref="B28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88</v>
      </c>
    </row>
    <row r="4" spans="1:2">
      <c r="A4" s="65" t="s">
        <v>98</v>
      </c>
    </row>
    <row r="5" spans="1:2">
      <c r="A5" s="65" t="s">
        <v>86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3:B5"/>
  <sheetViews>
    <sheetView workbookViewId="0">
      <selection activeCell="B26" sqref="B26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88</v>
      </c>
    </row>
    <row r="4" spans="1:2">
      <c r="A4" s="65" t="s">
        <v>98</v>
      </c>
    </row>
    <row r="5" spans="1:2">
      <c r="A5" s="65" t="s">
        <v>86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/>
  <dimension ref="A3:B5"/>
  <sheetViews>
    <sheetView workbookViewId="0">
      <selection activeCell="E13" sqref="E13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97</v>
      </c>
    </row>
    <row r="4" spans="1:2">
      <c r="A4" s="65" t="s">
        <v>98</v>
      </c>
      <c r="B4" s="78">
        <v>0</v>
      </c>
    </row>
    <row r="5" spans="1:2">
      <c r="A5" s="65" t="s">
        <v>86</v>
      </c>
      <c r="B5" s="78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3:B5"/>
  <sheetViews>
    <sheetView topLeftCell="D34" workbookViewId="0">
      <selection activeCell="U3" sqref="U3"/>
    </sheetView>
  </sheetViews>
  <sheetFormatPr defaultRowHeight="15"/>
  <cols>
    <col min="1" max="1" width="18" bestFit="1" customWidth="1"/>
    <col min="2" max="2" width="19.5703125" bestFit="1" customWidth="1"/>
  </cols>
  <sheetData>
    <row r="3" spans="1:2">
      <c r="A3" s="64" t="s">
        <v>85</v>
      </c>
      <c r="B3" t="s">
        <v>88</v>
      </c>
    </row>
    <row r="4" spans="1:2">
      <c r="A4" s="65" t="s">
        <v>98</v>
      </c>
    </row>
    <row r="5" spans="1:2">
      <c r="A5" s="65" t="s">
        <v>86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79C72-0824-4115-90E1-B8603375CA2C}">
  <sheetPr codeName="Planilha20"/>
  <dimension ref="A1:B8"/>
  <sheetViews>
    <sheetView workbookViewId="0">
      <selection activeCell="B3" sqref="B3"/>
    </sheetView>
  </sheetViews>
  <sheetFormatPr defaultRowHeight="15"/>
  <cols>
    <col min="1" max="1" width="18" bestFit="1" customWidth="1"/>
    <col min="2" max="2" width="19.5703125" bestFit="1" customWidth="1"/>
    <col min="3" max="3" width="20.5703125" bestFit="1" customWidth="1"/>
  </cols>
  <sheetData>
    <row r="1" spans="1:2">
      <c r="A1" s="64" t="s">
        <v>17</v>
      </c>
      <c r="B1" t="s">
        <v>162</v>
      </c>
    </row>
    <row r="2" spans="1:2">
      <c r="A2" s="64" t="s">
        <v>7</v>
      </c>
      <c r="B2" t="s">
        <v>98</v>
      </c>
    </row>
    <row r="3" spans="1:2">
      <c r="A3" s="64" t="s">
        <v>164</v>
      </c>
      <c r="B3" s="65">
        <v>0</v>
      </c>
    </row>
    <row r="5" spans="1:2">
      <c r="A5" s="64" t="s">
        <v>85</v>
      </c>
      <c r="B5" t="s">
        <v>97</v>
      </c>
    </row>
    <row r="6" spans="1:2">
      <c r="A6" s="65" t="s">
        <v>98</v>
      </c>
      <c r="B6">
        <v>0</v>
      </c>
    </row>
    <row r="7" spans="1:2">
      <c r="A7" s="201" t="s">
        <v>98</v>
      </c>
      <c r="B7">
        <v>0</v>
      </c>
    </row>
    <row r="8" spans="1:2">
      <c r="A8" s="65" t="s">
        <v>86</v>
      </c>
      <c r="B8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86D5-3154-4FB4-AB99-7CBA25793D77}">
  <sheetPr codeName="Planilha21"/>
  <dimension ref="A1:B9"/>
  <sheetViews>
    <sheetView workbookViewId="0">
      <selection activeCell="C28" sqref="C28"/>
    </sheetView>
  </sheetViews>
  <sheetFormatPr defaultRowHeight="15"/>
  <cols>
    <col min="1" max="1" width="18.140625" bestFit="1" customWidth="1"/>
    <col min="2" max="2" width="15.7109375" bestFit="1" customWidth="1"/>
    <col min="3" max="3" width="20.5703125" bestFit="1" customWidth="1"/>
  </cols>
  <sheetData>
    <row r="1" spans="1:2">
      <c r="A1" s="64" t="s">
        <v>17</v>
      </c>
      <c r="B1" t="s">
        <v>162</v>
      </c>
    </row>
    <row r="2" spans="1:2">
      <c r="A2" s="64" t="s">
        <v>7</v>
      </c>
      <c r="B2" t="s">
        <v>98</v>
      </c>
    </row>
    <row r="3" spans="1:2">
      <c r="A3" s="64" t="s">
        <v>164</v>
      </c>
      <c r="B3" t="s">
        <v>162</v>
      </c>
    </row>
    <row r="4" spans="1:2">
      <c r="A4" s="64" t="s">
        <v>157</v>
      </c>
      <c r="B4" t="s">
        <v>162</v>
      </c>
    </row>
    <row r="6" spans="1:2">
      <c r="A6" s="64" t="s">
        <v>85</v>
      </c>
      <c r="B6" t="s">
        <v>171</v>
      </c>
    </row>
    <row r="7" spans="1:2">
      <c r="A7" s="65" t="s">
        <v>98</v>
      </c>
    </row>
    <row r="8" spans="1:2">
      <c r="A8" s="201" t="s">
        <v>98</v>
      </c>
    </row>
    <row r="9" spans="1:2">
      <c r="A9" s="65" t="s">
        <v>86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AV153"/>
  <sheetViews>
    <sheetView showZeros="0" tabSelected="1" zoomScaleNormal="100" workbookViewId="0">
      <pane ySplit="4" topLeftCell="A26" activePane="bottomLeft" state="frozen"/>
      <selection pane="bottomLeft" activeCell="U36" sqref="U36"/>
    </sheetView>
  </sheetViews>
  <sheetFormatPr defaultRowHeight="20.25" customHeight="1"/>
  <cols>
    <col min="1" max="1" width="9.140625" style="39"/>
    <col min="2" max="3" width="14.5703125" style="39" customWidth="1"/>
    <col min="4" max="5" width="27.28515625" style="39" customWidth="1"/>
    <col min="6" max="6" width="11.42578125" style="197" customWidth="1"/>
    <col min="7" max="7" width="27.42578125" style="39" customWidth="1"/>
    <col min="8" max="8" width="11.5703125" style="39" customWidth="1"/>
    <col min="9" max="9" width="18.42578125" style="39" customWidth="1"/>
    <col min="10" max="10" width="56.5703125" style="39" customWidth="1"/>
    <col min="11" max="13" width="18.42578125" style="39" customWidth="1"/>
    <col min="14" max="14" width="42.140625" style="39" customWidth="1"/>
    <col min="15" max="15" width="45.42578125" style="39" customWidth="1"/>
    <col min="16" max="16" width="18.42578125" style="39" customWidth="1"/>
    <col min="17" max="17" width="51.5703125" style="39" customWidth="1"/>
    <col min="18" max="18" width="23.85546875" style="39" customWidth="1"/>
    <col min="19" max="19" width="29.28515625" style="39" customWidth="1"/>
    <col min="20" max="20" width="17.5703125" style="39" customWidth="1"/>
    <col min="21" max="21" width="19.42578125" style="39" customWidth="1"/>
    <col min="22" max="24" width="15.7109375" style="39" customWidth="1"/>
    <col min="25" max="25" width="19.5703125" style="39" customWidth="1"/>
    <col min="26" max="26" width="64" style="39" customWidth="1"/>
    <col min="27" max="27" width="14.42578125" style="39" customWidth="1"/>
    <col min="28" max="28" width="12.85546875" style="39" customWidth="1"/>
    <col min="29" max="29" width="29.140625" style="66" customWidth="1"/>
    <col min="30" max="30" width="32.28515625" style="66" customWidth="1"/>
    <col min="31" max="31" width="17.7109375" style="66" customWidth="1"/>
    <col min="32" max="32" width="20.140625" style="66" customWidth="1"/>
    <col min="33" max="33" width="24.5703125" style="66" customWidth="1"/>
    <col min="34" max="34" width="19.28515625" style="66" customWidth="1"/>
    <col min="35" max="42" width="9.140625" style="66"/>
    <col min="43" max="43" width="15.140625" style="66" customWidth="1"/>
    <col min="44" max="44" width="9.140625" style="66"/>
    <col min="45" max="45" width="19.140625" style="66" customWidth="1"/>
    <col min="46" max="46" width="9.140625" style="66"/>
    <col min="47" max="47" width="39.42578125" style="39" customWidth="1"/>
    <col min="48" max="48" width="22.85546875" style="39" customWidth="1"/>
    <col min="49" max="16384" width="9.140625" style="39"/>
  </cols>
  <sheetData>
    <row r="1" spans="1:48" ht="30.75" customHeight="1">
      <c r="A1" s="39">
        <v>4</v>
      </c>
      <c r="F1" s="200">
        <f>AT_2015[[#Totals],[Nº SAT]]</f>
        <v>31</v>
      </c>
    </row>
    <row r="2" spans="1:48" ht="22.5" customHeight="1">
      <c r="A2" s="1"/>
      <c r="B2" s="207"/>
      <c r="C2" s="207"/>
      <c r="D2" s="207"/>
      <c r="E2" s="207"/>
      <c r="F2" s="190">
        <f>COUNTA(F6:F9938)</f>
        <v>35</v>
      </c>
      <c r="G2" s="208">
        <f>Y2/F2</f>
        <v>124.30085714285714</v>
      </c>
      <c r="H2" s="208"/>
      <c r="I2" s="208"/>
      <c r="J2" s="208"/>
      <c r="K2" s="209"/>
      <c r="L2" s="209"/>
      <c r="M2" s="209"/>
      <c r="N2" s="209"/>
      <c r="O2" s="2"/>
      <c r="P2" s="3"/>
      <c r="Q2" s="3"/>
      <c r="R2" s="3"/>
      <c r="S2" s="3"/>
      <c r="T2" s="206">
        <f>AT_2015[[#Totals],[Mão de obra]]</f>
        <v>1985</v>
      </c>
      <c r="U2" s="206">
        <f>AT_2015[[#Totals],[Deslocamento]]</f>
        <v>2038.53</v>
      </c>
      <c r="V2" s="206">
        <f>AT_2015[[#Totals],[Correio]]</f>
        <v>327</v>
      </c>
      <c r="W2" s="206">
        <f>AT_2015[[#Totals],[Pedágio]]</f>
        <v>0</v>
      </c>
      <c r="X2" s="206">
        <f>AT_2015[[#Totals],[Outros]]</f>
        <v>0</v>
      </c>
      <c r="Y2" s="206">
        <f>AT_2015[[#Totals],[Custo Total ]]</f>
        <v>4350.53</v>
      </c>
      <c r="Z2" s="67"/>
      <c r="AA2" s="67"/>
      <c r="AB2" s="67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6"/>
      <c r="AQ2" s="125"/>
      <c r="AR2" s="125"/>
      <c r="AS2" s="125"/>
      <c r="AT2" s="125"/>
      <c r="AU2" s="1"/>
      <c r="AV2" s="1"/>
    </row>
    <row r="3" spans="1:48" ht="22.5" customHeight="1">
      <c r="A3" s="1"/>
      <c r="B3" s="140" t="str">
        <f>IF(B128&lt;0,B128," ")</f>
        <v xml:space="preserve"> </v>
      </c>
      <c r="C3" s="140" t="str">
        <f t="shared" ref="C3:S3" si="0">IF(C128&lt;0,C128," ")</f>
        <v xml:space="preserve"> </v>
      </c>
      <c r="D3" s="140" t="str">
        <f t="shared" si="0"/>
        <v xml:space="preserve"> </v>
      </c>
      <c r="E3" s="140" t="str">
        <f t="shared" si="0"/>
        <v xml:space="preserve"> </v>
      </c>
      <c r="F3" s="191" t="str">
        <f t="shared" si="0"/>
        <v xml:space="preserve"> </v>
      </c>
      <c r="G3" s="140" t="str">
        <f t="shared" si="0"/>
        <v xml:space="preserve"> </v>
      </c>
      <c r="H3" s="140" t="str">
        <f t="shared" si="0"/>
        <v xml:space="preserve"> </v>
      </c>
      <c r="I3" s="140" t="str">
        <f t="shared" si="0"/>
        <v xml:space="preserve"> </v>
      </c>
      <c r="J3" s="140" t="str">
        <f t="shared" si="0"/>
        <v xml:space="preserve"> </v>
      </c>
      <c r="K3" s="140">
        <f t="shared" si="0"/>
        <v>-1</v>
      </c>
      <c r="L3" s="140" t="str">
        <f t="shared" si="0"/>
        <v xml:space="preserve"> </v>
      </c>
      <c r="M3" s="140" t="str">
        <f t="shared" si="0"/>
        <v xml:space="preserve"> </v>
      </c>
      <c r="N3" s="140" t="str">
        <f t="shared" si="0"/>
        <v xml:space="preserve"> </v>
      </c>
      <c r="O3" s="140" t="str">
        <f t="shared" si="0"/>
        <v xml:space="preserve"> </v>
      </c>
      <c r="P3" s="140" t="str">
        <f t="shared" si="0"/>
        <v xml:space="preserve"> </v>
      </c>
      <c r="Q3" s="140" t="str">
        <f t="shared" si="0"/>
        <v xml:space="preserve"> </v>
      </c>
      <c r="R3" s="140">
        <f t="shared" si="0"/>
        <v>-31</v>
      </c>
      <c r="S3" s="140" t="str">
        <f t="shared" si="0"/>
        <v xml:space="preserve"> </v>
      </c>
      <c r="T3" s="206"/>
      <c r="U3" s="206"/>
      <c r="V3" s="206"/>
      <c r="W3" s="206"/>
      <c r="X3" s="206"/>
      <c r="Y3" s="206"/>
      <c r="Z3" s="67"/>
      <c r="AA3" s="67"/>
      <c r="AB3" s="67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6"/>
      <c r="AQ3" s="125"/>
      <c r="AR3" s="125"/>
      <c r="AS3" s="125"/>
      <c r="AT3" s="125"/>
      <c r="AU3" s="1"/>
      <c r="AV3" s="1"/>
    </row>
    <row r="4" spans="1:48" ht="26.25" customHeight="1">
      <c r="A4" s="4"/>
      <c r="B4" s="41" t="s">
        <v>0</v>
      </c>
      <c r="C4" s="41" t="s">
        <v>1</v>
      </c>
      <c r="D4" s="41" t="s">
        <v>2</v>
      </c>
      <c r="E4" s="40" t="s">
        <v>3</v>
      </c>
      <c r="F4" s="192" t="s">
        <v>4</v>
      </c>
      <c r="G4" s="40" t="s">
        <v>5</v>
      </c>
      <c r="H4" s="42" t="s">
        <v>6</v>
      </c>
      <c r="I4" s="42" t="s">
        <v>7</v>
      </c>
      <c r="J4" s="40" t="s">
        <v>8</v>
      </c>
      <c r="K4" s="40" t="s">
        <v>9</v>
      </c>
      <c r="L4" s="40" t="s">
        <v>10</v>
      </c>
      <c r="M4" s="40" t="s">
        <v>11</v>
      </c>
      <c r="N4" s="40" t="s">
        <v>12</v>
      </c>
      <c r="O4" s="43" t="s">
        <v>13</v>
      </c>
      <c r="P4" s="40" t="s">
        <v>14</v>
      </c>
      <c r="Q4" s="40" t="s">
        <v>15</v>
      </c>
      <c r="R4" s="40" t="s">
        <v>16</v>
      </c>
      <c r="S4" s="40" t="s">
        <v>17</v>
      </c>
      <c r="T4" s="139" t="s">
        <v>18</v>
      </c>
      <c r="U4" s="139" t="s">
        <v>19</v>
      </c>
      <c r="V4" s="139" t="s">
        <v>20</v>
      </c>
      <c r="W4" s="139" t="s">
        <v>21</v>
      </c>
      <c r="X4" s="139" t="s">
        <v>22</v>
      </c>
      <c r="Y4" s="139" t="s">
        <v>23</v>
      </c>
      <c r="Z4" s="40" t="s">
        <v>24</v>
      </c>
      <c r="AA4" s="183" t="s">
        <v>164</v>
      </c>
      <c r="AB4" s="155" t="s">
        <v>157</v>
      </c>
      <c r="AC4" s="127" t="s">
        <v>25</v>
      </c>
      <c r="AD4" s="127" t="s">
        <v>2</v>
      </c>
      <c r="AE4" s="127" t="s">
        <v>26</v>
      </c>
      <c r="AF4" s="127" t="s">
        <v>19</v>
      </c>
      <c r="AG4" s="127" t="s">
        <v>27</v>
      </c>
      <c r="AH4" s="127" t="s">
        <v>21</v>
      </c>
      <c r="AI4" s="128"/>
      <c r="AJ4" s="128" t="s">
        <v>28</v>
      </c>
      <c r="AK4" s="128"/>
      <c r="AL4" s="128" t="s">
        <v>29</v>
      </c>
      <c r="AM4" s="128"/>
      <c r="AN4" s="128" t="s">
        <v>30</v>
      </c>
      <c r="AO4" s="128"/>
      <c r="AP4" s="129"/>
      <c r="AQ4" s="128" t="s">
        <v>31</v>
      </c>
      <c r="AR4" s="128"/>
      <c r="AS4" s="128" t="s">
        <v>32</v>
      </c>
      <c r="AT4" s="128"/>
      <c r="AU4" s="4"/>
      <c r="AV4" s="4"/>
    </row>
    <row r="5" spans="1:48" ht="26.25" customHeight="1">
      <c r="A5" s="5">
        <f>IF(AT_2015[[#This Row],[Data ]]&gt;1,1,0)</f>
        <v>1</v>
      </c>
      <c r="B5" s="6">
        <v>46035</v>
      </c>
      <c r="C5" s="7" t="s">
        <v>173</v>
      </c>
      <c r="D5" s="8" t="s">
        <v>174</v>
      </c>
      <c r="E5" s="9" t="s">
        <v>175</v>
      </c>
      <c r="F5" s="194" t="s">
        <v>176</v>
      </c>
      <c r="G5" s="9" t="s">
        <v>177</v>
      </c>
      <c r="H5" s="10">
        <v>9</v>
      </c>
      <c r="I5" s="10" t="s">
        <v>39</v>
      </c>
      <c r="J5" s="9" t="s">
        <v>178</v>
      </c>
      <c r="K5" s="9" t="s">
        <v>77</v>
      </c>
      <c r="L5" s="9" t="s">
        <v>57</v>
      </c>
      <c r="M5" s="11" t="s">
        <v>47</v>
      </c>
      <c r="N5" s="9" t="s">
        <v>179</v>
      </c>
      <c r="O5" s="12" t="s">
        <v>180</v>
      </c>
      <c r="P5" s="13" t="s">
        <v>37</v>
      </c>
      <c r="Q5" s="9" t="s">
        <v>181</v>
      </c>
      <c r="R5" s="14"/>
      <c r="S5" s="13" t="s">
        <v>37</v>
      </c>
      <c r="T5" s="15">
        <v>150</v>
      </c>
      <c r="U5" s="15">
        <v>115</v>
      </c>
      <c r="V5" s="15"/>
      <c r="W5" s="15"/>
      <c r="X5" s="15"/>
      <c r="Y5" s="203">
        <f>SUM(AT_2015[[#This Row],[Mão de obra]:[Outros]])</f>
        <v>265</v>
      </c>
      <c r="Z5" s="18"/>
      <c r="AA5" s="159">
        <f>IF(AT_2015[[#This Row],[Correio]]&gt;0,1,0)</f>
        <v>0</v>
      </c>
      <c r="AB5" s="159" t="str">
        <f>IF(AT_2015[[#This Row],[Correio]]&gt;0,"sim","não")</f>
        <v>não</v>
      </c>
      <c r="AC5" s="130" t="str">
        <f>IF(B5="","",TEXT(B5,"ddmmaaaa")&amp;F5)</f>
        <v>13012026113.25</v>
      </c>
      <c r="AD5" s="131" t="str">
        <f>IF(B5="","",D5)</f>
        <v>SÃO PAULO</v>
      </c>
      <c r="AE5" s="132">
        <f>IF(B5="","",T5)</f>
        <v>150</v>
      </c>
      <c r="AF5" s="132">
        <f>IF(B5="","",U5)</f>
        <v>115</v>
      </c>
      <c r="AG5" s="132">
        <f>IF(B5="","",V5)</f>
        <v>0</v>
      </c>
      <c r="AH5" s="132">
        <f>IF(B5="","",W5)</f>
        <v>0</v>
      </c>
      <c r="AI5" s="125"/>
      <c r="AJ5" s="125" t="s">
        <v>38</v>
      </c>
      <c r="AK5" s="125"/>
      <c r="AL5" s="125" t="s">
        <v>39</v>
      </c>
      <c r="AM5" s="125"/>
      <c r="AN5" s="125" t="s">
        <v>36</v>
      </c>
      <c r="AO5" s="125"/>
      <c r="AP5" s="133">
        <v>1</v>
      </c>
      <c r="AQ5" s="134" t="s">
        <v>40</v>
      </c>
      <c r="AR5" s="125"/>
      <c r="AS5" s="125" t="s">
        <v>5</v>
      </c>
      <c r="AT5" s="125"/>
      <c r="AU5" s="135" t="str">
        <f>IF(B5="","",TEXT(B5,"MMAAAA")&amp;M5&amp;K5)</f>
        <v>012026UniportasALAMO</v>
      </c>
      <c r="AV5" s="136">
        <f>SUM(T5:X5)</f>
        <v>265</v>
      </c>
    </row>
    <row r="6" spans="1:48" ht="26.25" customHeight="1">
      <c r="A6" s="5">
        <f>IF(AT_2015[[#This Row],[Data ]]&gt;1,1,0)</f>
        <v>1</v>
      </c>
      <c r="B6" s="6">
        <v>46042</v>
      </c>
      <c r="C6" s="7" t="s">
        <v>173</v>
      </c>
      <c r="D6" s="8" t="s">
        <v>182</v>
      </c>
      <c r="E6" s="9" t="s">
        <v>183</v>
      </c>
      <c r="F6" s="194" t="s">
        <v>184</v>
      </c>
      <c r="G6" s="9" t="s">
        <v>185</v>
      </c>
      <c r="H6" s="10">
        <v>3</v>
      </c>
      <c r="I6" s="10" t="s">
        <v>39</v>
      </c>
      <c r="J6" s="9" t="s">
        <v>186</v>
      </c>
      <c r="K6" s="9" t="s">
        <v>69</v>
      </c>
      <c r="L6" s="9" t="s">
        <v>35</v>
      </c>
      <c r="M6" s="11" t="s">
        <v>9</v>
      </c>
      <c r="N6" s="9" t="s">
        <v>187</v>
      </c>
      <c r="O6" s="12" t="s">
        <v>187</v>
      </c>
      <c r="P6" s="13" t="s">
        <v>36</v>
      </c>
      <c r="Q6" s="9" t="s">
        <v>195</v>
      </c>
      <c r="R6" s="14"/>
      <c r="S6" s="13" t="s">
        <v>37</v>
      </c>
      <c r="T6" s="15">
        <v>150</v>
      </c>
      <c r="U6" s="15">
        <v>72</v>
      </c>
      <c r="V6" s="15"/>
      <c r="W6" s="15"/>
      <c r="X6" s="15"/>
      <c r="Y6" s="203">
        <f>SUM(AT_2015[[#This Row],[Mão de obra]:[Outros]])</f>
        <v>222</v>
      </c>
      <c r="Z6" s="18"/>
      <c r="AA6" s="159">
        <f>IF(AT_2015[[#This Row],[Correio]]&gt;0,1,0)</f>
        <v>0</v>
      </c>
      <c r="AB6" s="159" t="str">
        <f>IF(AT_2015[[#This Row],[Correio]]&gt;0,"sim","não")</f>
        <v>não</v>
      </c>
      <c r="AC6" s="130" t="str">
        <f>IF(B6="","",TEXT(B6,"ddmmaaaa")&amp;F6)</f>
        <v>20012026001.26</v>
      </c>
      <c r="AD6" s="131" t="str">
        <f>IF(B6="","",D6)</f>
        <v>SÃO VICENTE</v>
      </c>
      <c r="AE6" s="132">
        <f>IF(B6="","",T6)</f>
        <v>150</v>
      </c>
      <c r="AF6" s="132">
        <f>IF(B6="","",U6)</f>
        <v>72</v>
      </c>
      <c r="AG6" s="132">
        <f>IF(B6="","",V6)</f>
        <v>0</v>
      </c>
      <c r="AH6" s="132">
        <f>IF(B6="","",W6)</f>
        <v>0</v>
      </c>
      <c r="AI6" s="125"/>
      <c r="AJ6" s="125" t="s">
        <v>41</v>
      </c>
      <c r="AK6" s="125"/>
      <c r="AL6" s="125" t="s">
        <v>33</v>
      </c>
      <c r="AM6" s="125"/>
      <c r="AN6" s="125" t="s">
        <v>37</v>
      </c>
      <c r="AO6" s="125"/>
      <c r="AP6" s="133">
        <v>2</v>
      </c>
      <c r="AQ6" s="134" t="s">
        <v>42</v>
      </c>
      <c r="AR6" s="125"/>
      <c r="AS6" s="125" t="s">
        <v>9</v>
      </c>
      <c r="AT6" s="125"/>
      <c r="AU6" s="135" t="str">
        <f t="shared" ref="AU6:AU69" si="1">IF(B6="","",TEXT(B6,"MMAAAA")&amp;M6&amp;K6)</f>
        <v>012026FornecedorSANCHES</v>
      </c>
      <c r="AV6" s="136">
        <f t="shared" ref="AV6:AV69" si="2">SUM(T6:X6)</f>
        <v>222</v>
      </c>
    </row>
    <row r="7" spans="1:48" ht="26.25" customHeight="1">
      <c r="A7" s="5">
        <f>IF(AT_2015[[#This Row],[Data ]]&gt;1,1,0)</f>
        <v>1</v>
      </c>
      <c r="B7" s="6">
        <v>46087</v>
      </c>
      <c r="C7" s="7" t="s">
        <v>188</v>
      </c>
      <c r="D7" s="8" t="s">
        <v>174</v>
      </c>
      <c r="E7" s="9" t="s">
        <v>189</v>
      </c>
      <c r="F7" s="194" t="s">
        <v>190</v>
      </c>
      <c r="G7" s="9" t="s">
        <v>191</v>
      </c>
      <c r="H7" s="10">
        <v>2</v>
      </c>
      <c r="I7" s="10" t="s">
        <v>33</v>
      </c>
      <c r="J7" s="9" t="s">
        <v>192</v>
      </c>
      <c r="K7" s="9" t="s">
        <v>34</v>
      </c>
      <c r="L7" s="9" t="s">
        <v>35</v>
      </c>
      <c r="M7" s="11" t="s">
        <v>9</v>
      </c>
      <c r="N7" s="74" t="s">
        <v>193</v>
      </c>
      <c r="O7" s="12" t="s">
        <v>194</v>
      </c>
      <c r="P7" s="13" t="s">
        <v>36</v>
      </c>
      <c r="Q7" s="9" t="s">
        <v>195</v>
      </c>
      <c r="R7" s="14"/>
      <c r="S7" s="13" t="s">
        <v>37</v>
      </c>
      <c r="T7" s="15">
        <v>78</v>
      </c>
      <c r="U7" s="15"/>
      <c r="V7" s="15"/>
      <c r="W7" s="15"/>
      <c r="X7" s="15"/>
      <c r="Y7" s="203">
        <f>SUM(AT_2015[[#This Row],[Mão de obra]:[Outros]])</f>
        <v>78</v>
      </c>
      <c r="Z7" s="18"/>
      <c r="AA7" s="159">
        <f>IF(AT_2015[[#This Row],[Correio]]&gt;0,1,0)</f>
        <v>0</v>
      </c>
      <c r="AB7" s="159" t="str">
        <f>IF(AT_2015[[#This Row],[Correio]]&gt;0,"sim","não")</f>
        <v>não</v>
      </c>
      <c r="AC7" s="130" t="str">
        <f t="shared" ref="AC7:AC70" si="3">IF(B7="","",TEXT(B7,"ddmmaaaa")&amp;F7)</f>
        <v>06032026012.26</v>
      </c>
      <c r="AD7" s="131" t="str">
        <f t="shared" ref="AD7:AD70" si="4">IF(B7="","",D7)</f>
        <v>SÃO PAULO</v>
      </c>
      <c r="AE7" s="132">
        <f t="shared" ref="AE7:AE70" si="5">IF(B7="","",T7)</f>
        <v>78</v>
      </c>
      <c r="AF7" s="132">
        <f t="shared" ref="AF7:AF70" si="6">IF(B7="","",U7)</f>
        <v>0</v>
      </c>
      <c r="AG7" s="132">
        <f t="shared" ref="AG7:AG70" si="7">IF(B7="","",V7)</f>
        <v>0</v>
      </c>
      <c r="AH7" s="132">
        <f t="shared" ref="AH7:AH70" si="8">IF(B7="","",W7)</f>
        <v>0</v>
      </c>
      <c r="AI7" s="125"/>
      <c r="AJ7" s="125" t="s">
        <v>44</v>
      </c>
      <c r="AK7" s="125"/>
      <c r="AL7" s="125" t="s">
        <v>45</v>
      </c>
      <c r="AM7" s="125"/>
      <c r="AN7" s="125"/>
      <c r="AO7" s="125"/>
      <c r="AP7" s="133">
        <v>3</v>
      </c>
      <c r="AQ7" s="134" t="s">
        <v>46</v>
      </c>
      <c r="AR7" s="125"/>
      <c r="AS7" s="125" t="s">
        <v>47</v>
      </c>
      <c r="AT7" s="125"/>
      <c r="AU7" s="135" t="str">
        <f t="shared" si="1"/>
        <v>032026FornecedorNAVAS</v>
      </c>
      <c r="AV7" s="136">
        <f t="shared" si="2"/>
        <v>78</v>
      </c>
    </row>
    <row r="8" spans="1:48" ht="26.25" customHeight="1">
      <c r="A8" s="5">
        <f>IF(AT_2015[[#This Row],[Data ]]&gt;1,1,0)</f>
        <v>1</v>
      </c>
      <c r="B8" s="6">
        <v>46100</v>
      </c>
      <c r="C8" s="7" t="s">
        <v>188</v>
      </c>
      <c r="D8" s="8" t="s">
        <v>196</v>
      </c>
      <c r="E8" s="9" t="s">
        <v>197</v>
      </c>
      <c r="F8" s="194" t="s">
        <v>198</v>
      </c>
      <c r="G8" s="9" t="s">
        <v>199</v>
      </c>
      <c r="H8" s="10">
        <v>1</v>
      </c>
      <c r="I8" s="10" t="s">
        <v>39</v>
      </c>
      <c r="J8" s="9" t="s">
        <v>200</v>
      </c>
      <c r="K8" s="9" t="s">
        <v>77</v>
      </c>
      <c r="L8" s="9" t="s">
        <v>57</v>
      </c>
      <c r="M8" s="11" t="s">
        <v>47</v>
      </c>
      <c r="N8" s="74" t="s">
        <v>201</v>
      </c>
      <c r="O8" s="142" t="s">
        <v>202</v>
      </c>
      <c r="P8" s="13" t="s">
        <v>37</v>
      </c>
      <c r="Q8" s="9" t="s">
        <v>203</v>
      </c>
      <c r="R8" s="14"/>
      <c r="S8" s="13" t="s">
        <v>37</v>
      </c>
      <c r="T8" s="15">
        <v>78</v>
      </c>
      <c r="U8" s="15">
        <v>65.25</v>
      </c>
      <c r="V8" s="15"/>
      <c r="W8" s="15"/>
      <c r="X8" s="15"/>
      <c r="Y8" s="203">
        <f>SUM(AT_2015[[#This Row],[Mão de obra]:[Outros]])</f>
        <v>143.25</v>
      </c>
      <c r="Z8" s="18"/>
      <c r="AA8" s="159">
        <f>IF(AT_2015[[#This Row],[Correio]]&gt;0,1,0)</f>
        <v>0</v>
      </c>
      <c r="AB8" s="159" t="str">
        <f>IF(AT_2015[[#This Row],[Correio]]&gt;0,"sim","não")</f>
        <v>não</v>
      </c>
      <c r="AC8" s="130" t="str">
        <f t="shared" si="3"/>
        <v>19032026019.26</v>
      </c>
      <c r="AD8" s="131" t="str">
        <f t="shared" si="4"/>
        <v>GUARULHOS</v>
      </c>
      <c r="AE8" s="132">
        <f t="shared" si="5"/>
        <v>78</v>
      </c>
      <c r="AF8" s="132">
        <f t="shared" si="6"/>
        <v>65.25</v>
      </c>
      <c r="AG8" s="132">
        <f t="shared" si="7"/>
        <v>0</v>
      </c>
      <c r="AH8" s="132">
        <f t="shared" si="8"/>
        <v>0</v>
      </c>
      <c r="AI8" s="125"/>
      <c r="AJ8" s="125" t="s">
        <v>48</v>
      </c>
      <c r="AK8" s="125"/>
      <c r="AL8" s="125" t="s">
        <v>49</v>
      </c>
      <c r="AM8" s="125"/>
      <c r="AN8" s="125"/>
      <c r="AO8" s="125"/>
      <c r="AP8" s="133">
        <v>4</v>
      </c>
      <c r="AQ8" s="134" t="s">
        <v>50</v>
      </c>
      <c r="AR8" s="125"/>
      <c r="AS8" s="125"/>
      <c r="AT8" s="125"/>
      <c r="AU8" s="135" t="str">
        <f t="shared" si="1"/>
        <v>032026UniportasALAMO</v>
      </c>
      <c r="AV8" s="136">
        <f t="shared" si="2"/>
        <v>143.25</v>
      </c>
    </row>
    <row r="9" spans="1:48" ht="26.25" customHeight="1">
      <c r="A9" s="5">
        <f>IF(AT_2015[[#This Row],[Data ]]&gt;1,1,0)</f>
        <v>1</v>
      </c>
      <c r="B9" s="6">
        <v>46100</v>
      </c>
      <c r="C9" s="7" t="s">
        <v>188</v>
      </c>
      <c r="D9" s="8" t="s">
        <v>196</v>
      </c>
      <c r="E9" s="9" t="s">
        <v>204</v>
      </c>
      <c r="F9" s="194" t="s">
        <v>205</v>
      </c>
      <c r="G9" s="9" t="s">
        <v>206</v>
      </c>
      <c r="H9" s="10">
        <v>1</v>
      </c>
      <c r="I9" s="10" t="s">
        <v>39</v>
      </c>
      <c r="J9" s="9" t="s">
        <v>207</v>
      </c>
      <c r="K9" s="9" t="s">
        <v>73</v>
      </c>
      <c r="L9" s="9" t="s">
        <v>57</v>
      </c>
      <c r="M9" s="11" t="s">
        <v>47</v>
      </c>
      <c r="N9" s="9" t="s">
        <v>208</v>
      </c>
      <c r="O9" s="142" t="s">
        <v>209</v>
      </c>
      <c r="P9" s="13" t="s">
        <v>37</v>
      </c>
      <c r="Q9" s="9" t="s">
        <v>210</v>
      </c>
      <c r="R9" s="14"/>
      <c r="S9" s="13" t="s">
        <v>37</v>
      </c>
      <c r="T9" s="15">
        <v>78</v>
      </c>
      <c r="U9" s="15">
        <v>65.25</v>
      </c>
      <c r="V9" s="15"/>
      <c r="W9" s="15"/>
      <c r="X9" s="15"/>
      <c r="Y9" s="203">
        <f>SUM(AT_2015[[#This Row],[Mão de obra]:[Outros]])</f>
        <v>143.25</v>
      </c>
      <c r="Z9" s="18"/>
      <c r="AA9" s="159">
        <f>IF(AT_2015[[#This Row],[Correio]]&gt;0,1,0)</f>
        <v>0</v>
      </c>
      <c r="AB9" s="159" t="str">
        <f>IF(AT_2015[[#This Row],[Correio]]&gt;0,"sim","não")</f>
        <v>não</v>
      </c>
      <c r="AC9" s="130" t="str">
        <f t="shared" si="3"/>
        <v>19032026017.26</v>
      </c>
      <c r="AD9" s="131" t="str">
        <f t="shared" si="4"/>
        <v>GUARULHOS</v>
      </c>
      <c r="AE9" s="132">
        <f t="shared" si="5"/>
        <v>78</v>
      </c>
      <c r="AF9" s="132">
        <f t="shared" si="6"/>
        <v>65.25</v>
      </c>
      <c r="AG9" s="132">
        <f t="shared" si="7"/>
        <v>0</v>
      </c>
      <c r="AH9" s="132">
        <f t="shared" si="8"/>
        <v>0</v>
      </c>
      <c r="AI9" s="125"/>
      <c r="AJ9" s="125" t="s">
        <v>35</v>
      </c>
      <c r="AK9" s="125"/>
      <c r="AL9" s="125" t="s">
        <v>51</v>
      </c>
      <c r="AM9" s="125"/>
      <c r="AN9" s="125"/>
      <c r="AO9" s="125"/>
      <c r="AP9" s="133">
        <v>5</v>
      </c>
      <c r="AQ9" s="134" t="s">
        <v>52</v>
      </c>
      <c r="AR9" s="125"/>
      <c r="AS9" s="125"/>
      <c r="AT9" s="125"/>
      <c r="AU9" s="135" t="str">
        <f t="shared" si="1"/>
        <v>032026UniportasPOLTRONIERI</v>
      </c>
      <c r="AV9" s="136">
        <f t="shared" si="2"/>
        <v>143.25</v>
      </c>
    </row>
    <row r="10" spans="1:48" ht="26.25" customHeight="1">
      <c r="A10" s="5">
        <f>IF(AT_2015[[#This Row],[Data ]]&gt;1,1,0)</f>
        <v>1</v>
      </c>
      <c r="B10" s="6">
        <v>46100</v>
      </c>
      <c r="C10" s="7" t="s">
        <v>188</v>
      </c>
      <c r="D10" s="8" t="s">
        <v>196</v>
      </c>
      <c r="E10" s="9" t="s">
        <v>204</v>
      </c>
      <c r="F10" s="194" t="s">
        <v>211</v>
      </c>
      <c r="G10" s="9" t="s">
        <v>212</v>
      </c>
      <c r="H10" s="10">
        <v>2</v>
      </c>
      <c r="I10" s="10" t="s">
        <v>39</v>
      </c>
      <c r="J10" s="9" t="s">
        <v>213</v>
      </c>
      <c r="K10" s="9" t="s">
        <v>77</v>
      </c>
      <c r="L10" s="9" t="s">
        <v>57</v>
      </c>
      <c r="M10" s="11" t="s">
        <v>47</v>
      </c>
      <c r="N10" s="9" t="s">
        <v>214</v>
      </c>
      <c r="O10" s="9" t="s">
        <v>214</v>
      </c>
      <c r="P10" s="13" t="s">
        <v>36</v>
      </c>
      <c r="Q10" s="9" t="s">
        <v>215</v>
      </c>
      <c r="R10" s="14"/>
      <c r="S10" s="13" t="s">
        <v>37</v>
      </c>
      <c r="T10" s="15">
        <v>78</v>
      </c>
      <c r="U10" s="15">
        <v>65.25</v>
      </c>
      <c r="V10" s="15">
        <v>24.2</v>
      </c>
      <c r="W10" s="15"/>
      <c r="X10" s="15"/>
      <c r="Y10" s="203">
        <f>SUM(AT_2015[[#This Row],[Mão de obra]:[Outros]])</f>
        <v>167.45</v>
      </c>
      <c r="Z10" s="18"/>
      <c r="AA10" s="159">
        <f>IF(AT_2015[[#This Row],[Correio]]&gt;0,1,0)</f>
        <v>1</v>
      </c>
      <c r="AB10" s="159" t="str">
        <f>IF(AT_2015[[#This Row],[Correio]]&gt;0,"sim","não")</f>
        <v>sim</v>
      </c>
      <c r="AC10" s="130" t="str">
        <f t="shared" si="3"/>
        <v>19032026016.26</v>
      </c>
      <c r="AD10" s="131" t="str">
        <f t="shared" si="4"/>
        <v>GUARULHOS</v>
      </c>
      <c r="AE10" s="132">
        <f t="shared" si="5"/>
        <v>78</v>
      </c>
      <c r="AF10" s="132">
        <f t="shared" si="6"/>
        <v>65.25</v>
      </c>
      <c r="AG10" s="132">
        <f t="shared" si="7"/>
        <v>24.2</v>
      </c>
      <c r="AH10" s="132">
        <f t="shared" si="8"/>
        <v>0</v>
      </c>
      <c r="AI10" s="125"/>
      <c r="AJ10" s="125" t="s">
        <v>53</v>
      </c>
      <c r="AK10" s="125"/>
      <c r="AL10" s="125" t="s">
        <v>54</v>
      </c>
      <c r="AM10" s="125"/>
      <c r="AN10" s="125"/>
      <c r="AO10" s="125"/>
      <c r="AP10" s="133">
        <v>6</v>
      </c>
      <c r="AQ10" s="134" t="s">
        <v>55</v>
      </c>
      <c r="AR10" s="125"/>
      <c r="AS10" s="125"/>
      <c r="AT10" s="125"/>
      <c r="AU10" s="135" t="str">
        <f t="shared" si="1"/>
        <v>032026UniportasALAMO</v>
      </c>
      <c r="AV10" s="136">
        <f t="shared" si="2"/>
        <v>167.45</v>
      </c>
    </row>
    <row r="11" spans="1:48" ht="26.25" customHeight="1">
      <c r="A11" s="5">
        <f>IF(AT_2015[[#This Row],[Data ]]&gt;1,1,0)</f>
        <v>1</v>
      </c>
      <c r="B11" s="6">
        <v>46085</v>
      </c>
      <c r="C11" s="7" t="s">
        <v>188</v>
      </c>
      <c r="D11" s="8" t="s">
        <v>216</v>
      </c>
      <c r="E11" s="9" t="s">
        <v>217</v>
      </c>
      <c r="F11" s="194" t="s">
        <v>218</v>
      </c>
      <c r="G11" s="9" t="s">
        <v>219</v>
      </c>
      <c r="H11" s="10">
        <v>1</v>
      </c>
      <c r="I11" s="10" t="s">
        <v>33</v>
      </c>
      <c r="J11" s="9" t="s">
        <v>220</v>
      </c>
      <c r="K11" s="9" t="s">
        <v>34</v>
      </c>
      <c r="L11" s="9" t="s">
        <v>57</v>
      </c>
      <c r="M11" s="11" t="s">
        <v>47</v>
      </c>
      <c r="N11" s="9" t="s">
        <v>221</v>
      </c>
      <c r="O11" s="12" t="s">
        <v>221</v>
      </c>
      <c r="P11" s="13" t="s">
        <v>36</v>
      </c>
      <c r="Q11" s="9" t="s">
        <v>222</v>
      </c>
      <c r="R11" s="14"/>
      <c r="S11" s="13" t="s">
        <v>36</v>
      </c>
      <c r="T11" s="15"/>
      <c r="U11" s="15"/>
      <c r="V11" s="15">
        <v>25.9</v>
      </c>
      <c r="W11" s="15"/>
      <c r="X11" s="15"/>
      <c r="Y11" s="203">
        <f>SUM(AT_2015[[#This Row],[Mão de obra]:[Outros]])</f>
        <v>25.9</v>
      </c>
      <c r="Z11" s="18"/>
      <c r="AA11" s="159">
        <f>IF(AT_2015[[#This Row],[Correio]]&gt;0,1,0)</f>
        <v>1</v>
      </c>
      <c r="AB11" s="159" t="str">
        <f>IF(AT_2015[[#This Row],[Correio]]&gt;0,"sim","não")</f>
        <v>sim</v>
      </c>
      <c r="AC11" s="130" t="str">
        <f t="shared" si="3"/>
        <v>04032026014.26</v>
      </c>
      <c r="AD11" s="131" t="str">
        <f t="shared" si="4"/>
        <v>BRAGANÇA PTA</v>
      </c>
      <c r="AE11" s="132">
        <f t="shared" si="5"/>
        <v>0</v>
      </c>
      <c r="AF11" s="132">
        <f t="shared" si="6"/>
        <v>0</v>
      </c>
      <c r="AG11" s="132">
        <f t="shared" si="7"/>
        <v>25.9</v>
      </c>
      <c r="AH11" s="132">
        <f t="shared" si="8"/>
        <v>0</v>
      </c>
      <c r="AI11" s="125"/>
      <c r="AJ11" s="125" t="s">
        <v>57</v>
      </c>
      <c r="AK11" s="125"/>
      <c r="AL11" s="125" t="s">
        <v>58</v>
      </c>
      <c r="AM11" s="125"/>
      <c r="AN11" s="125"/>
      <c r="AO11" s="125"/>
      <c r="AP11" s="133">
        <v>7</v>
      </c>
      <c r="AQ11" s="134" t="s">
        <v>59</v>
      </c>
      <c r="AR11" s="125"/>
      <c r="AS11" s="125"/>
      <c r="AT11" s="125"/>
      <c r="AU11" s="135" t="str">
        <f>IF(B11="","",TEXT(B11,"MMAAAA")&amp;M11&amp;K11)</f>
        <v>032026UniportasNAVAS</v>
      </c>
      <c r="AV11" s="136">
        <f t="shared" si="2"/>
        <v>25.9</v>
      </c>
    </row>
    <row r="12" spans="1:48" ht="26.25" customHeight="1">
      <c r="A12" s="5">
        <f>IF(AT_2015[[#This Row],[Data ]]&gt;1,1,0)</f>
        <v>1</v>
      </c>
      <c r="B12" s="6">
        <v>46066</v>
      </c>
      <c r="C12" s="7" t="s">
        <v>223</v>
      </c>
      <c r="D12" s="8" t="s">
        <v>224</v>
      </c>
      <c r="E12" s="9" t="s">
        <v>225</v>
      </c>
      <c r="F12" s="194" t="s">
        <v>226</v>
      </c>
      <c r="G12" s="9" t="s">
        <v>227</v>
      </c>
      <c r="H12" s="10">
        <v>1</v>
      </c>
      <c r="I12" s="10" t="s">
        <v>39</v>
      </c>
      <c r="J12" s="9" t="s">
        <v>186</v>
      </c>
      <c r="K12" s="9" t="s">
        <v>69</v>
      </c>
      <c r="L12" s="9" t="s">
        <v>35</v>
      </c>
      <c r="M12" s="11" t="s">
        <v>9</v>
      </c>
      <c r="N12" s="9" t="s">
        <v>228</v>
      </c>
      <c r="O12" s="12" t="s">
        <v>228</v>
      </c>
      <c r="P12" s="13" t="s">
        <v>36</v>
      </c>
      <c r="Q12" s="9" t="s">
        <v>195</v>
      </c>
      <c r="R12" s="14"/>
      <c r="S12" s="13" t="s">
        <v>37</v>
      </c>
      <c r="T12" s="15">
        <v>78</v>
      </c>
      <c r="U12" s="15">
        <v>168.8</v>
      </c>
      <c r="V12" s="15"/>
      <c r="W12" s="15"/>
      <c r="X12" s="15"/>
      <c r="Y12" s="203">
        <f>SUM(AT_2015[[#This Row],[Mão de obra]:[Outros]])</f>
        <v>246.8</v>
      </c>
      <c r="Z12" s="18"/>
      <c r="AA12" s="159">
        <f>IF(AT_2015[[#This Row],[Correio]]&gt;0,1,0)</f>
        <v>0</v>
      </c>
      <c r="AB12" s="159" t="str">
        <f>IF(AT_2015[[#This Row],[Correio]]&gt;0,"sim","não")</f>
        <v>não</v>
      </c>
      <c r="AC12" s="130" t="str">
        <f t="shared" si="3"/>
        <v>13022026004.26</v>
      </c>
      <c r="AD12" s="131" t="str">
        <f t="shared" si="4"/>
        <v>SÃO MIGUEL ARCANJO</v>
      </c>
      <c r="AE12" s="132">
        <f t="shared" si="5"/>
        <v>78</v>
      </c>
      <c r="AF12" s="132">
        <f t="shared" si="6"/>
        <v>168.8</v>
      </c>
      <c r="AG12" s="132">
        <f t="shared" si="7"/>
        <v>0</v>
      </c>
      <c r="AH12" s="132">
        <f t="shared" si="8"/>
        <v>0</v>
      </c>
      <c r="AI12" s="125"/>
      <c r="AJ12" s="125" t="s">
        <v>60</v>
      </c>
      <c r="AK12" s="125"/>
      <c r="AL12" s="125" t="s">
        <v>61</v>
      </c>
      <c r="AM12" s="125"/>
      <c r="AN12" s="125"/>
      <c r="AO12" s="125"/>
      <c r="AP12" s="133">
        <v>8</v>
      </c>
      <c r="AQ12" s="134" t="s">
        <v>62</v>
      </c>
      <c r="AR12" s="125"/>
      <c r="AS12" s="125"/>
      <c r="AT12" s="125"/>
      <c r="AU12" s="135" t="str">
        <f t="shared" si="1"/>
        <v>022026FornecedorSANCHES</v>
      </c>
      <c r="AV12" s="136">
        <f t="shared" si="2"/>
        <v>246.8</v>
      </c>
    </row>
    <row r="13" spans="1:48" ht="26.25" customHeight="1">
      <c r="A13" s="5">
        <f>IF(AT_2015[[#This Row],[Data ]]&gt;1,1,0)</f>
        <v>1</v>
      </c>
      <c r="B13" s="6">
        <v>46072</v>
      </c>
      <c r="C13" s="7" t="s">
        <v>223</v>
      </c>
      <c r="D13" s="8" t="s">
        <v>174</v>
      </c>
      <c r="E13" s="9" t="s">
        <v>229</v>
      </c>
      <c r="F13" s="193" t="s">
        <v>230</v>
      </c>
      <c r="G13" s="68" t="s">
        <v>231</v>
      </c>
      <c r="H13" s="10">
        <v>1</v>
      </c>
      <c r="I13" s="10" t="s">
        <v>39</v>
      </c>
      <c r="J13" s="9" t="s">
        <v>232</v>
      </c>
      <c r="K13" s="9" t="s">
        <v>71</v>
      </c>
      <c r="L13" s="68" t="s">
        <v>35</v>
      </c>
      <c r="M13" s="69" t="s">
        <v>9</v>
      </c>
      <c r="N13" s="9" t="s">
        <v>233</v>
      </c>
      <c r="O13" s="12" t="s">
        <v>233</v>
      </c>
      <c r="P13" s="13" t="s">
        <v>36</v>
      </c>
      <c r="Q13" s="9" t="s">
        <v>195</v>
      </c>
      <c r="R13" s="14"/>
      <c r="S13" s="13" t="s">
        <v>37</v>
      </c>
      <c r="T13" s="15">
        <v>78</v>
      </c>
      <c r="U13" s="15">
        <v>50</v>
      </c>
      <c r="V13" s="15"/>
      <c r="W13" s="15"/>
      <c r="X13" s="15"/>
      <c r="Y13" s="203">
        <f>SUM(AT_2015[[#This Row],[Mão de obra]:[Outros]])</f>
        <v>128</v>
      </c>
      <c r="Z13" s="18" t="s">
        <v>169</v>
      </c>
      <c r="AA13" s="159">
        <f>IF(AT_2015[[#This Row],[Correio]]&gt;0,1,0)</f>
        <v>0</v>
      </c>
      <c r="AB13" s="159" t="str">
        <f>IF(AT_2015[[#This Row],[Correio]]&gt;0,"sim","não")</f>
        <v>não</v>
      </c>
      <c r="AC13" s="130" t="str">
        <f t="shared" si="3"/>
        <v>19022026009.26</v>
      </c>
      <c r="AD13" s="131" t="str">
        <f t="shared" si="4"/>
        <v>SÃO PAULO</v>
      </c>
      <c r="AE13" s="132">
        <f t="shared" si="5"/>
        <v>78</v>
      </c>
      <c r="AF13" s="132">
        <f t="shared" si="6"/>
        <v>50</v>
      </c>
      <c r="AG13" s="132">
        <f t="shared" si="7"/>
        <v>0</v>
      </c>
      <c r="AH13" s="132">
        <f t="shared" si="8"/>
        <v>0</v>
      </c>
      <c r="AI13" s="125"/>
      <c r="AJ13" s="125"/>
      <c r="AK13" s="125"/>
      <c r="AL13" s="125" t="s">
        <v>63</v>
      </c>
      <c r="AM13" s="125"/>
      <c r="AN13" s="125"/>
      <c r="AO13" s="125"/>
      <c r="AP13" s="133">
        <v>9</v>
      </c>
      <c r="AQ13" s="134" t="s">
        <v>64</v>
      </c>
      <c r="AR13" s="125"/>
      <c r="AS13" s="125"/>
      <c r="AT13" s="125"/>
      <c r="AU13" s="135" t="str">
        <f t="shared" si="1"/>
        <v>022026FornecedorPRESOTTO</v>
      </c>
      <c r="AV13" s="136">
        <f t="shared" si="2"/>
        <v>128</v>
      </c>
    </row>
    <row r="14" spans="1:48" ht="26.25" customHeight="1">
      <c r="A14" s="5">
        <f>IF(AT_2015[[#This Row],[Data ]]&gt;1,1,0)</f>
        <v>1</v>
      </c>
      <c r="B14" s="6">
        <v>46049</v>
      </c>
      <c r="C14" s="7" t="s">
        <v>173</v>
      </c>
      <c r="D14" s="8" t="s">
        <v>234</v>
      </c>
      <c r="E14" s="9" t="s">
        <v>229</v>
      </c>
      <c r="F14" s="193" t="s">
        <v>235</v>
      </c>
      <c r="G14" s="9" t="s">
        <v>236</v>
      </c>
      <c r="H14" s="10">
        <v>1</v>
      </c>
      <c r="I14" s="10" t="s">
        <v>39</v>
      </c>
      <c r="J14" s="9" t="s">
        <v>237</v>
      </c>
      <c r="K14" s="9" t="s">
        <v>40</v>
      </c>
      <c r="L14" s="9" t="s">
        <v>60</v>
      </c>
      <c r="M14" s="11" t="s">
        <v>9</v>
      </c>
      <c r="N14" s="9" t="s">
        <v>228</v>
      </c>
      <c r="O14" s="12" t="s">
        <v>228</v>
      </c>
      <c r="P14" s="13" t="s">
        <v>36</v>
      </c>
      <c r="Q14" s="9" t="s">
        <v>195</v>
      </c>
      <c r="R14" s="14"/>
      <c r="S14" s="13" t="s">
        <v>37</v>
      </c>
      <c r="T14" s="15">
        <v>60</v>
      </c>
      <c r="U14" s="15">
        <v>30</v>
      </c>
      <c r="V14" s="15"/>
      <c r="W14" s="15"/>
      <c r="X14" s="15"/>
      <c r="Y14" s="203">
        <f>SUM(AT_2015[[#This Row],[Mão de obra]:[Outros]])</f>
        <v>90</v>
      </c>
      <c r="Z14" s="156"/>
      <c r="AA14" s="159">
        <f>IF(AT_2015[[#This Row],[Correio]]&gt;0,1,0)</f>
        <v>0</v>
      </c>
      <c r="AB14" s="159" t="str">
        <f>IF(AT_2015[[#This Row],[Correio]]&gt;0,"sim","não")</f>
        <v>não</v>
      </c>
      <c r="AC14" s="130" t="str">
        <f t="shared" si="3"/>
        <v>27012026169.25</v>
      </c>
      <c r="AD14" s="131" t="str">
        <f t="shared" si="4"/>
        <v>TABOÃO DA SERRA</v>
      </c>
      <c r="AE14" s="132">
        <f t="shared" si="5"/>
        <v>60</v>
      </c>
      <c r="AF14" s="132">
        <f t="shared" si="6"/>
        <v>30</v>
      </c>
      <c r="AG14" s="132">
        <f t="shared" si="7"/>
        <v>0</v>
      </c>
      <c r="AH14" s="132">
        <f t="shared" si="8"/>
        <v>0</v>
      </c>
      <c r="AI14" s="125"/>
      <c r="AJ14" s="125"/>
      <c r="AK14" s="125"/>
      <c r="AL14" s="125"/>
      <c r="AM14" s="125"/>
      <c r="AN14" s="125"/>
      <c r="AO14" s="125"/>
      <c r="AP14" s="133">
        <v>10</v>
      </c>
      <c r="AQ14" s="134" t="s">
        <v>65</v>
      </c>
      <c r="AR14" s="125"/>
      <c r="AS14" s="125"/>
      <c r="AT14" s="125"/>
      <c r="AU14" s="135" t="str">
        <f t="shared" si="1"/>
        <v>012026FornecedorARLIZ</v>
      </c>
      <c r="AV14" s="136">
        <f t="shared" si="2"/>
        <v>90</v>
      </c>
    </row>
    <row r="15" spans="1:48" ht="26.25" customHeight="1">
      <c r="A15" s="5">
        <f>IF(AT_2015[[#This Row],[Data ]]&gt;1,1,0)</f>
        <v>1</v>
      </c>
      <c r="B15" s="6">
        <v>46055</v>
      </c>
      <c r="C15" s="7" t="s">
        <v>223</v>
      </c>
      <c r="D15" s="8" t="s">
        <v>238</v>
      </c>
      <c r="E15" s="9" t="s">
        <v>225</v>
      </c>
      <c r="F15" s="193" t="s">
        <v>239</v>
      </c>
      <c r="G15" s="9" t="s">
        <v>240</v>
      </c>
      <c r="H15" s="10">
        <v>1</v>
      </c>
      <c r="I15" s="10" t="s">
        <v>33</v>
      </c>
      <c r="J15" s="9" t="s">
        <v>241</v>
      </c>
      <c r="K15" s="68" t="s">
        <v>43</v>
      </c>
      <c r="L15" s="9" t="s">
        <v>35</v>
      </c>
      <c r="M15" s="11" t="s">
        <v>9</v>
      </c>
      <c r="N15" s="9" t="s">
        <v>242</v>
      </c>
      <c r="O15" s="12" t="s">
        <v>242</v>
      </c>
      <c r="P15" s="13" t="s">
        <v>36</v>
      </c>
      <c r="Q15" s="9" t="s">
        <v>222</v>
      </c>
      <c r="R15" s="14"/>
      <c r="S15" s="13" t="s">
        <v>36</v>
      </c>
      <c r="T15" s="15"/>
      <c r="U15" s="15"/>
      <c r="V15" s="15">
        <v>53.9</v>
      </c>
      <c r="W15" s="15"/>
      <c r="X15" s="15"/>
      <c r="Y15" s="203">
        <f>SUM(AT_2015[[#This Row],[Mão de obra]:[Outros]])</f>
        <v>53.9</v>
      </c>
      <c r="Z15" s="18"/>
      <c r="AA15" s="159">
        <f>IF(AT_2015[[#This Row],[Correio]]&gt;0,1,0)</f>
        <v>1</v>
      </c>
      <c r="AB15" s="159" t="str">
        <f>IF(AT_2015[[#This Row],[Correio]]&gt;0,"sim","não")</f>
        <v>sim</v>
      </c>
      <c r="AC15" s="130" t="str">
        <f t="shared" si="3"/>
        <v>02022026005.26</v>
      </c>
      <c r="AD15" s="131" t="str">
        <f t="shared" si="4"/>
        <v>PILAR DO SUL</v>
      </c>
      <c r="AE15" s="132">
        <f t="shared" si="5"/>
        <v>0</v>
      </c>
      <c r="AF15" s="132">
        <f t="shared" si="6"/>
        <v>0</v>
      </c>
      <c r="AG15" s="132">
        <f t="shared" si="7"/>
        <v>53.9</v>
      </c>
      <c r="AH15" s="132">
        <f t="shared" si="8"/>
        <v>0</v>
      </c>
      <c r="AI15" s="125"/>
      <c r="AJ15" s="125"/>
      <c r="AK15" s="125"/>
      <c r="AL15" s="125"/>
      <c r="AM15" s="125"/>
      <c r="AN15" s="125"/>
      <c r="AO15" s="125"/>
      <c r="AP15" s="133">
        <v>11</v>
      </c>
      <c r="AQ15" s="134" t="s">
        <v>66</v>
      </c>
      <c r="AR15" s="125"/>
      <c r="AS15" s="125"/>
      <c r="AT15" s="125"/>
      <c r="AU15" s="135" t="str">
        <f t="shared" si="1"/>
        <v>022026FornecedorMGM</v>
      </c>
      <c r="AV15" s="136">
        <f t="shared" si="2"/>
        <v>53.9</v>
      </c>
    </row>
    <row r="16" spans="1:48" ht="26.25" customHeight="1">
      <c r="A16" s="5">
        <f>IF(AT_2015[[#This Row],[Data ]]&gt;1,1,0)</f>
        <v>1</v>
      </c>
      <c r="B16" s="6">
        <v>46055</v>
      </c>
      <c r="C16" s="7" t="s">
        <v>223</v>
      </c>
      <c r="D16" s="8" t="s">
        <v>196</v>
      </c>
      <c r="E16" s="9" t="s">
        <v>197</v>
      </c>
      <c r="F16" s="193" t="s">
        <v>243</v>
      </c>
      <c r="G16" s="9" t="s">
        <v>244</v>
      </c>
      <c r="H16" s="10">
        <v>1</v>
      </c>
      <c r="I16" s="10" t="s">
        <v>39</v>
      </c>
      <c r="J16" s="9" t="s">
        <v>245</v>
      </c>
      <c r="K16" s="9" t="s">
        <v>79</v>
      </c>
      <c r="L16" s="9" t="s">
        <v>57</v>
      </c>
      <c r="M16" s="11" t="s">
        <v>47</v>
      </c>
      <c r="N16" s="9" t="s">
        <v>246</v>
      </c>
      <c r="O16" s="12" t="s">
        <v>247</v>
      </c>
      <c r="P16" s="13" t="s">
        <v>37</v>
      </c>
      <c r="Q16" s="9" t="s">
        <v>210</v>
      </c>
      <c r="R16" s="14"/>
      <c r="S16" s="13" t="s">
        <v>37</v>
      </c>
      <c r="T16" s="15">
        <v>112.5</v>
      </c>
      <c r="U16" s="15">
        <v>50</v>
      </c>
      <c r="V16" s="15"/>
      <c r="W16" s="15"/>
      <c r="X16" s="15"/>
      <c r="Y16" s="203">
        <f>SUM(AT_2015[[#This Row],[Mão de obra]:[Outros]])</f>
        <v>162.5</v>
      </c>
      <c r="Z16" s="157" t="s">
        <v>170</v>
      </c>
      <c r="AA16" s="159">
        <f>IF(AT_2015[[#This Row],[Correio]]&gt;0,1,0)</f>
        <v>0</v>
      </c>
      <c r="AB16" s="159" t="str">
        <f>IF(AT_2015[[#This Row],[Correio]]&gt;0,"sim","não")</f>
        <v>não</v>
      </c>
      <c r="AC16" s="130" t="str">
        <f t="shared" si="3"/>
        <v>02022026003.26</v>
      </c>
      <c r="AD16" s="131" t="str">
        <f t="shared" si="4"/>
        <v>GUARULHOS</v>
      </c>
      <c r="AE16" s="132">
        <f t="shared" si="5"/>
        <v>112.5</v>
      </c>
      <c r="AF16" s="132">
        <f t="shared" si="6"/>
        <v>50</v>
      </c>
      <c r="AG16" s="132">
        <f t="shared" si="7"/>
        <v>0</v>
      </c>
      <c r="AH16" s="132">
        <f t="shared" si="8"/>
        <v>0</v>
      </c>
      <c r="AI16" s="125"/>
      <c r="AJ16" s="125"/>
      <c r="AK16" s="125"/>
      <c r="AL16" s="125"/>
      <c r="AM16" s="125"/>
      <c r="AN16" s="125"/>
      <c r="AO16" s="125"/>
      <c r="AP16" s="133">
        <v>12</v>
      </c>
      <c r="AQ16" s="134" t="s">
        <v>67</v>
      </c>
      <c r="AR16" s="125"/>
      <c r="AS16" s="125"/>
      <c r="AT16" s="125"/>
      <c r="AU16" s="135" t="str">
        <f t="shared" si="1"/>
        <v>022026UniportasUNIPORTAS</v>
      </c>
      <c r="AV16" s="136">
        <f t="shared" si="2"/>
        <v>162.5</v>
      </c>
    </row>
    <row r="17" spans="1:48" ht="26.25" customHeight="1">
      <c r="A17" s="5">
        <f>IF(AT_2015[[#This Row],[Data ]]&gt;1,1,0)</f>
        <v>1</v>
      </c>
      <c r="B17" s="6">
        <v>46055</v>
      </c>
      <c r="C17" s="7" t="s">
        <v>223</v>
      </c>
      <c r="D17" s="8" t="s">
        <v>196</v>
      </c>
      <c r="E17" s="9" t="s">
        <v>197</v>
      </c>
      <c r="F17" s="193" t="s">
        <v>243</v>
      </c>
      <c r="G17" s="68" t="s">
        <v>244</v>
      </c>
      <c r="H17" s="10">
        <v>1</v>
      </c>
      <c r="I17" s="10" t="s">
        <v>39</v>
      </c>
      <c r="J17" s="9" t="s">
        <v>248</v>
      </c>
      <c r="K17" s="68" t="s">
        <v>40</v>
      </c>
      <c r="L17" s="68" t="s">
        <v>57</v>
      </c>
      <c r="M17" s="69" t="s">
        <v>47</v>
      </c>
      <c r="N17" s="9" t="s">
        <v>249</v>
      </c>
      <c r="O17" s="12" t="s">
        <v>250</v>
      </c>
      <c r="P17" s="13" t="s">
        <v>36</v>
      </c>
      <c r="Q17" s="9" t="s">
        <v>210</v>
      </c>
      <c r="R17" s="14"/>
      <c r="S17" s="13" t="s">
        <v>37</v>
      </c>
      <c r="T17" s="15">
        <v>112.5</v>
      </c>
      <c r="U17" s="15">
        <v>50</v>
      </c>
      <c r="V17" s="15"/>
      <c r="W17" s="15"/>
      <c r="X17" s="15"/>
      <c r="Y17" s="203">
        <f>SUM(AT_2015[[#This Row],[Mão de obra]:[Outros]])</f>
        <v>162.5</v>
      </c>
      <c r="Z17" s="18"/>
      <c r="AA17" s="159">
        <f>IF(AT_2015[[#This Row],[Correio]]&gt;0,1,0)</f>
        <v>0</v>
      </c>
      <c r="AB17" s="159" t="str">
        <f>IF(AT_2015[[#This Row],[Correio]]&gt;0,"sim","não")</f>
        <v>não</v>
      </c>
      <c r="AC17" s="130" t="str">
        <f t="shared" si="3"/>
        <v>02022026003.26</v>
      </c>
      <c r="AD17" s="131" t="str">
        <f t="shared" si="4"/>
        <v>GUARULHOS</v>
      </c>
      <c r="AE17" s="132">
        <f t="shared" si="5"/>
        <v>112.5</v>
      </c>
      <c r="AF17" s="132">
        <f t="shared" si="6"/>
        <v>50</v>
      </c>
      <c r="AG17" s="132">
        <f t="shared" si="7"/>
        <v>0</v>
      </c>
      <c r="AH17" s="132">
        <f t="shared" si="8"/>
        <v>0</v>
      </c>
      <c r="AI17" s="125"/>
      <c r="AJ17" s="125"/>
      <c r="AK17" s="125"/>
      <c r="AL17" s="125"/>
      <c r="AM17" s="125"/>
      <c r="AN17" s="125"/>
      <c r="AO17" s="125"/>
      <c r="AP17" s="133">
        <v>13</v>
      </c>
      <c r="AQ17" s="134" t="s">
        <v>68</v>
      </c>
      <c r="AR17" s="125"/>
      <c r="AS17" s="125"/>
      <c r="AT17" s="125"/>
      <c r="AU17" s="135" t="str">
        <f t="shared" si="1"/>
        <v>022026UniportasARLIZ</v>
      </c>
      <c r="AV17" s="136">
        <f t="shared" si="2"/>
        <v>162.5</v>
      </c>
    </row>
    <row r="18" spans="1:48" ht="26.25" customHeight="1">
      <c r="A18" s="5">
        <f>IF(AT_2015[[#This Row],[Data ]]&gt;1,1,0)</f>
        <v>1</v>
      </c>
      <c r="B18" s="6">
        <v>46051</v>
      </c>
      <c r="C18" s="7" t="s">
        <v>173</v>
      </c>
      <c r="D18" s="8" t="s">
        <v>251</v>
      </c>
      <c r="E18" s="9" t="s">
        <v>204</v>
      </c>
      <c r="F18" s="193" t="s">
        <v>252</v>
      </c>
      <c r="G18" s="9" t="s">
        <v>253</v>
      </c>
      <c r="H18" s="10">
        <v>1</v>
      </c>
      <c r="I18" s="10" t="s">
        <v>33</v>
      </c>
      <c r="J18" s="9" t="s">
        <v>241</v>
      </c>
      <c r="K18" s="68" t="s">
        <v>43</v>
      </c>
      <c r="L18" s="68" t="s">
        <v>35</v>
      </c>
      <c r="M18" s="69" t="s">
        <v>9</v>
      </c>
      <c r="N18" s="9" t="s">
        <v>254</v>
      </c>
      <c r="O18" s="12" t="s">
        <v>254</v>
      </c>
      <c r="P18" s="13" t="s">
        <v>36</v>
      </c>
      <c r="Q18" s="9" t="s">
        <v>222</v>
      </c>
      <c r="R18" s="14"/>
      <c r="S18" s="13" t="s">
        <v>36</v>
      </c>
      <c r="T18" s="15"/>
      <c r="U18" s="15"/>
      <c r="V18" s="15">
        <v>24.2</v>
      </c>
      <c r="W18" s="15"/>
      <c r="X18" s="15"/>
      <c r="Y18" s="203">
        <f>SUM(AT_2015[[#This Row],[Mão de obra]:[Outros]])</f>
        <v>24.2</v>
      </c>
      <c r="Z18" s="18"/>
      <c r="AA18" s="159">
        <f>IF(AT_2015[[#This Row],[Correio]]&gt;0,1,0)</f>
        <v>1</v>
      </c>
      <c r="AB18" s="159" t="str">
        <f>IF(AT_2015[[#This Row],[Correio]]&gt;0,"sim","não")</f>
        <v>sim</v>
      </c>
      <c r="AC18" s="130" t="str">
        <f>IF(B18="","",TEXT(B18,"ddmmaaaa")&amp;F18)</f>
        <v>29012026008.26</v>
      </c>
      <c r="AD18" s="131" t="str">
        <f>IF(B18="","",D18)</f>
        <v>SANTO ANDRÉ</v>
      </c>
      <c r="AE18" s="132">
        <f>IF(B18="","",T18)</f>
        <v>0</v>
      </c>
      <c r="AF18" s="132">
        <f>IF(B18="","",U18)</f>
        <v>0</v>
      </c>
      <c r="AG18" s="132">
        <f>IF(B18="","",V18)</f>
        <v>24.2</v>
      </c>
      <c r="AH18" s="132">
        <f>IF(B18="","",W18)</f>
        <v>0</v>
      </c>
      <c r="AI18" s="125"/>
      <c r="AJ18" s="125"/>
      <c r="AK18" s="125"/>
      <c r="AL18" s="125"/>
      <c r="AM18" s="125"/>
      <c r="AN18" s="125"/>
      <c r="AO18" s="125"/>
      <c r="AP18" s="133">
        <v>14</v>
      </c>
      <c r="AQ18" s="134" t="s">
        <v>43</v>
      </c>
      <c r="AR18" s="125"/>
      <c r="AS18" s="125"/>
      <c r="AT18" s="125"/>
      <c r="AU18" s="135" t="str">
        <f>IF(B18="","",TEXT(B18,"MMAAAA")&amp;M18&amp;K18)</f>
        <v>012026FornecedorMGM</v>
      </c>
      <c r="AV18" s="136">
        <f t="shared" si="2"/>
        <v>24.2</v>
      </c>
    </row>
    <row r="19" spans="1:48" ht="26.25" customHeight="1">
      <c r="A19" s="5">
        <f>IF(AT_2015[[#This Row],[Data ]]&gt;1,1,0)</f>
        <v>1</v>
      </c>
      <c r="B19" s="6">
        <v>46090</v>
      </c>
      <c r="C19" s="7" t="s">
        <v>188</v>
      </c>
      <c r="D19" s="8" t="s">
        <v>255</v>
      </c>
      <c r="E19" s="9" t="s">
        <v>204</v>
      </c>
      <c r="F19" s="193" t="s">
        <v>256</v>
      </c>
      <c r="G19" s="9" t="s">
        <v>257</v>
      </c>
      <c r="H19" s="10">
        <v>1</v>
      </c>
      <c r="I19" s="10" t="s">
        <v>39</v>
      </c>
      <c r="J19" s="9" t="s">
        <v>258</v>
      </c>
      <c r="K19" s="9" t="s">
        <v>77</v>
      </c>
      <c r="L19" s="9" t="s">
        <v>35</v>
      </c>
      <c r="M19" s="11" t="s">
        <v>9</v>
      </c>
      <c r="N19" s="9" t="s">
        <v>259</v>
      </c>
      <c r="O19" s="12" t="s">
        <v>260</v>
      </c>
      <c r="P19" s="13" t="s">
        <v>36</v>
      </c>
      <c r="Q19" s="9" t="s">
        <v>195</v>
      </c>
      <c r="R19" s="14"/>
      <c r="S19" s="13" t="s">
        <v>37</v>
      </c>
      <c r="T19" s="15">
        <v>78</v>
      </c>
      <c r="U19" s="15">
        <v>76</v>
      </c>
      <c r="V19" s="15"/>
      <c r="W19" s="15"/>
      <c r="X19" s="15"/>
      <c r="Y19" s="203">
        <f>SUM(AT_2015[[#This Row],[Mão de obra]:[Outros]])</f>
        <v>154</v>
      </c>
      <c r="Z19" s="18"/>
      <c r="AA19" s="159">
        <f>IF(AT_2015[[#This Row],[Correio]]&gt;0,1,0)</f>
        <v>0</v>
      </c>
      <c r="AB19" s="159" t="str">
        <f>IF(AT_2015[[#This Row],[Correio]]&gt;0,"sim","não")</f>
        <v>não</v>
      </c>
      <c r="AC19" s="130" t="str">
        <f t="shared" si="3"/>
        <v>09032026015.26</v>
      </c>
      <c r="AD19" s="131" t="str">
        <f t="shared" si="4"/>
        <v>EMBU DAS ARTES</v>
      </c>
      <c r="AE19" s="132">
        <f t="shared" si="5"/>
        <v>78</v>
      </c>
      <c r="AF19" s="132">
        <f t="shared" si="6"/>
        <v>76</v>
      </c>
      <c r="AG19" s="132">
        <f t="shared" si="7"/>
        <v>0</v>
      </c>
      <c r="AH19" s="132">
        <f t="shared" si="8"/>
        <v>0</v>
      </c>
      <c r="AI19" s="125"/>
      <c r="AJ19" s="125"/>
      <c r="AK19" s="125"/>
      <c r="AL19" s="125"/>
      <c r="AM19" s="125"/>
      <c r="AN19" s="125"/>
      <c r="AO19" s="125"/>
      <c r="AP19" s="133">
        <v>15</v>
      </c>
      <c r="AQ19" s="134" t="s">
        <v>34</v>
      </c>
      <c r="AR19" s="125"/>
      <c r="AS19" s="125"/>
      <c r="AT19" s="125"/>
      <c r="AU19" s="135" t="str">
        <f t="shared" si="1"/>
        <v>032026FornecedorALAMO</v>
      </c>
      <c r="AV19" s="136">
        <f t="shared" si="2"/>
        <v>154</v>
      </c>
    </row>
    <row r="20" spans="1:48" ht="26.25" customHeight="1">
      <c r="A20" s="5">
        <f>IF(AT_2015[[#This Row],[Data ]]&gt;1,1,0)</f>
        <v>1</v>
      </c>
      <c r="B20" s="6">
        <v>46111</v>
      </c>
      <c r="C20" s="7" t="s">
        <v>188</v>
      </c>
      <c r="D20" s="8" t="s">
        <v>261</v>
      </c>
      <c r="E20" s="9" t="s">
        <v>262</v>
      </c>
      <c r="F20" s="193" t="s">
        <v>263</v>
      </c>
      <c r="G20" s="9" t="s">
        <v>264</v>
      </c>
      <c r="H20" s="10">
        <v>7</v>
      </c>
      <c r="I20" s="10" t="s">
        <v>33</v>
      </c>
      <c r="J20" s="9" t="s">
        <v>241</v>
      </c>
      <c r="K20" s="9" t="s">
        <v>43</v>
      </c>
      <c r="L20" s="9" t="s">
        <v>35</v>
      </c>
      <c r="M20" s="11" t="s">
        <v>9</v>
      </c>
      <c r="N20" s="9" t="s">
        <v>265</v>
      </c>
      <c r="O20" s="12" t="s">
        <v>254</v>
      </c>
      <c r="P20" s="13" t="s">
        <v>36</v>
      </c>
      <c r="Q20" s="9" t="s">
        <v>195</v>
      </c>
      <c r="R20" s="14"/>
      <c r="S20" s="13" t="s">
        <v>37</v>
      </c>
      <c r="T20" s="15">
        <v>78</v>
      </c>
      <c r="U20" s="15">
        <v>212.67</v>
      </c>
      <c r="V20" s="15"/>
      <c r="W20" s="15"/>
      <c r="X20" s="15"/>
      <c r="Y20" s="203">
        <f>SUM(AT_2015[[#This Row],[Mão de obra]:[Outros]])</f>
        <v>290.66999999999996</v>
      </c>
      <c r="Z20" s="18"/>
      <c r="AA20" s="159">
        <f>IF(AT_2015[[#This Row],[Correio]]&gt;0,1,0)</f>
        <v>0</v>
      </c>
      <c r="AB20" s="159" t="str">
        <f>IF(AT_2015[[#This Row],[Correio]]&gt;0,"sim","não")</f>
        <v>não</v>
      </c>
      <c r="AC20" s="130" t="str">
        <f>IF(B20="","",TEXT(B20,"ddmmaaaa")&amp;F20)</f>
        <v>30032026025.26</v>
      </c>
      <c r="AD20" s="131" t="str">
        <f>IF(B20="","",D20)</f>
        <v>ITATIBA</v>
      </c>
      <c r="AE20" s="132">
        <f>IF(B20="","",T20)</f>
        <v>78</v>
      </c>
      <c r="AF20" s="132">
        <f>IF(B20="","",U20)</f>
        <v>212.67</v>
      </c>
      <c r="AG20" s="132">
        <f>IF(B20="","",V20)</f>
        <v>0</v>
      </c>
      <c r="AH20" s="132">
        <f>IF(B20="","",W20)</f>
        <v>0</v>
      </c>
      <c r="AI20" s="125"/>
      <c r="AJ20" s="125"/>
      <c r="AK20" s="125"/>
      <c r="AL20" s="125"/>
      <c r="AM20" s="125"/>
      <c r="AN20" s="125"/>
      <c r="AO20" s="125"/>
      <c r="AP20" s="133">
        <v>16</v>
      </c>
      <c r="AQ20" s="134" t="s">
        <v>70</v>
      </c>
      <c r="AR20" s="125"/>
      <c r="AS20" s="125"/>
      <c r="AT20" s="125"/>
      <c r="AU20" s="135" t="str">
        <f>IF(B20="","",TEXT(B20,"MMAAAA")&amp;M20&amp;K20)</f>
        <v>032026FornecedorMGM</v>
      </c>
      <c r="AV20" s="136">
        <f>SUM(T20:X20)</f>
        <v>290.66999999999996</v>
      </c>
    </row>
    <row r="21" spans="1:48" ht="26.25" customHeight="1">
      <c r="A21" s="5">
        <f>IF(AT_2015[[#This Row],[Data ]]&gt;1,1,0)</f>
        <v>1</v>
      </c>
      <c r="B21" s="6">
        <v>46111</v>
      </c>
      <c r="C21" s="7" t="s">
        <v>188</v>
      </c>
      <c r="D21" s="8" t="s">
        <v>266</v>
      </c>
      <c r="E21" s="9" t="s">
        <v>267</v>
      </c>
      <c r="F21" s="193" t="s">
        <v>268</v>
      </c>
      <c r="G21" s="9" t="s">
        <v>269</v>
      </c>
      <c r="H21" s="10">
        <v>1</v>
      </c>
      <c r="I21" s="10" t="s">
        <v>39</v>
      </c>
      <c r="J21" s="9" t="s">
        <v>270</v>
      </c>
      <c r="K21" s="9" t="s">
        <v>40</v>
      </c>
      <c r="L21" s="68" t="s">
        <v>35</v>
      </c>
      <c r="M21" s="69" t="s">
        <v>9</v>
      </c>
      <c r="N21" s="9" t="s">
        <v>271</v>
      </c>
      <c r="O21" s="12" t="s">
        <v>271</v>
      </c>
      <c r="P21" s="13" t="s">
        <v>36</v>
      </c>
      <c r="Q21" s="9" t="s">
        <v>195</v>
      </c>
      <c r="R21" s="14"/>
      <c r="S21" s="13" t="s">
        <v>37</v>
      </c>
      <c r="T21" s="15">
        <v>78</v>
      </c>
      <c r="U21" s="15">
        <v>212.67</v>
      </c>
      <c r="V21" s="15"/>
      <c r="W21" s="15"/>
      <c r="X21" s="15"/>
      <c r="Y21" s="203">
        <f>SUM(AT_2015[[#This Row],[Mão de obra]:[Outros]])</f>
        <v>290.66999999999996</v>
      </c>
      <c r="Z21" s="18"/>
      <c r="AA21" s="159">
        <f>IF(AT_2015[[#This Row],[Correio]]&gt;0,1,0)</f>
        <v>0</v>
      </c>
      <c r="AB21" s="159" t="str">
        <f>IF(AT_2015[[#This Row],[Correio]]&gt;0,"sim","não")</f>
        <v>não</v>
      </c>
      <c r="AC21" s="130" t="str">
        <f t="shared" si="3"/>
        <v>3003202624.26</v>
      </c>
      <c r="AD21" s="131" t="str">
        <f t="shared" si="4"/>
        <v>JUNDIAÍ</v>
      </c>
      <c r="AE21" s="132">
        <f t="shared" si="5"/>
        <v>78</v>
      </c>
      <c r="AF21" s="132">
        <f t="shared" si="6"/>
        <v>212.67</v>
      </c>
      <c r="AG21" s="132">
        <f t="shared" si="7"/>
        <v>0</v>
      </c>
      <c r="AH21" s="132">
        <f t="shared" si="8"/>
        <v>0</v>
      </c>
      <c r="AI21" s="125"/>
      <c r="AJ21" s="125"/>
      <c r="AK21" s="125"/>
      <c r="AL21" s="125"/>
      <c r="AM21" s="125"/>
      <c r="AN21" s="125"/>
      <c r="AO21" s="125"/>
      <c r="AP21" s="133">
        <v>17</v>
      </c>
      <c r="AQ21" s="134" t="s">
        <v>72</v>
      </c>
      <c r="AR21" s="125"/>
      <c r="AS21" s="125"/>
      <c r="AT21" s="125"/>
      <c r="AU21" s="135" t="str">
        <f t="shared" si="1"/>
        <v>032026FornecedorARLIZ</v>
      </c>
      <c r="AV21" s="136">
        <f t="shared" si="2"/>
        <v>290.66999999999996</v>
      </c>
    </row>
    <row r="22" spans="1:48" ht="26.25" customHeight="1">
      <c r="A22" s="5">
        <f>IF(AT_2015[[#This Row],[Data ]]&gt;1,1,0)</f>
        <v>1</v>
      </c>
      <c r="B22" s="6">
        <v>46107</v>
      </c>
      <c r="C22" s="7" t="s">
        <v>188</v>
      </c>
      <c r="D22" s="8" t="s">
        <v>272</v>
      </c>
      <c r="E22" s="9" t="s">
        <v>273</v>
      </c>
      <c r="F22" s="193" t="s">
        <v>274</v>
      </c>
      <c r="G22" s="9" t="s">
        <v>275</v>
      </c>
      <c r="H22" s="10">
        <v>2</v>
      </c>
      <c r="I22" s="10" t="s">
        <v>33</v>
      </c>
      <c r="J22" s="9" t="s">
        <v>220</v>
      </c>
      <c r="K22" s="9" t="s">
        <v>34</v>
      </c>
      <c r="L22" s="9" t="s">
        <v>35</v>
      </c>
      <c r="M22" s="11" t="s">
        <v>9</v>
      </c>
      <c r="N22" s="9" t="s">
        <v>265</v>
      </c>
      <c r="O22" s="12" t="s">
        <v>276</v>
      </c>
      <c r="P22" s="13" t="s">
        <v>36</v>
      </c>
      <c r="Q22" s="9" t="s">
        <v>195</v>
      </c>
      <c r="R22" s="14"/>
      <c r="S22" s="13" t="s">
        <v>37</v>
      </c>
      <c r="T22" s="15">
        <v>78</v>
      </c>
      <c r="U22" s="15">
        <v>145.69999999999999</v>
      </c>
      <c r="V22" s="15"/>
      <c r="W22" s="15"/>
      <c r="X22" s="15"/>
      <c r="Y22" s="203">
        <f>SUM(AT_2015[[#This Row],[Mão de obra]:[Outros]])</f>
        <v>223.7</v>
      </c>
      <c r="Z22" s="18"/>
      <c r="AA22" s="159">
        <f>IF(AT_2015[[#This Row],[Correio]]&gt;0,1,0)</f>
        <v>0</v>
      </c>
      <c r="AB22" s="159" t="str">
        <f>IF(AT_2015[[#This Row],[Correio]]&gt;0,"sim","não")</f>
        <v>não</v>
      </c>
      <c r="AC22" s="130" t="str">
        <f t="shared" si="3"/>
        <v>26032026011.26</v>
      </c>
      <c r="AD22" s="131" t="str">
        <f t="shared" si="4"/>
        <v>ITAPECERICA DA SERRA</v>
      </c>
      <c r="AE22" s="132">
        <f t="shared" si="5"/>
        <v>78</v>
      </c>
      <c r="AF22" s="132">
        <f t="shared" si="6"/>
        <v>145.69999999999999</v>
      </c>
      <c r="AG22" s="132">
        <f t="shared" si="7"/>
        <v>0</v>
      </c>
      <c r="AH22" s="132">
        <f t="shared" si="8"/>
        <v>0</v>
      </c>
      <c r="AI22" s="125"/>
      <c r="AJ22" s="125"/>
      <c r="AK22" s="125"/>
      <c r="AL22" s="125"/>
      <c r="AM22" s="125"/>
      <c r="AN22" s="125"/>
      <c r="AO22" s="125"/>
      <c r="AP22" s="133">
        <v>18</v>
      </c>
      <c r="AQ22" s="134" t="s">
        <v>73</v>
      </c>
      <c r="AR22" s="125"/>
      <c r="AS22" s="125"/>
      <c r="AT22" s="125"/>
      <c r="AU22" s="135" t="str">
        <f t="shared" si="1"/>
        <v>032026FornecedorNAVAS</v>
      </c>
      <c r="AV22" s="136">
        <f t="shared" si="2"/>
        <v>223.7</v>
      </c>
    </row>
    <row r="23" spans="1:48" ht="26.25" customHeight="1">
      <c r="A23" s="5">
        <f>IF(AT_2015[[#This Row],[Data ]]&gt;1,1,0)</f>
        <v>1</v>
      </c>
      <c r="B23" s="6">
        <v>46114</v>
      </c>
      <c r="C23" s="7" t="s">
        <v>277</v>
      </c>
      <c r="D23" s="8" t="s">
        <v>174</v>
      </c>
      <c r="E23" s="74" t="s">
        <v>278</v>
      </c>
      <c r="F23" s="193" t="s">
        <v>279</v>
      </c>
      <c r="G23" s="9" t="s">
        <v>280</v>
      </c>
      <c r="H23" s="151">
        <v>1</v>
      </c>
      <c r="I23" s="10" t="s">
        <v>39</v>
      </c>
      <c r="J23" s="74" t="s">
        <v>281</v>
      </c>
      <c r="K23" s="9" t="s">
        <v>40</v>
      </c>
      <c r="L23" s="68" t="s">
        <v>57</v>
      </c>
      <c r="M23" s="69" t="s">
        <v>47</v>
      </c>
      <c r="N23" s="9" t="s">
        <v>282</v>
      </c>
      <c r="O23" s="12" t="s">
        <v>283</v>
      </c>
      <c r="P23" s="13" t="s">
        <v>37</v>
      </c>
      <c r="Q23" s="9" t="s">
        <v>210</v>
      </c>
      <c r="R23" s="14"/>
      <c r="S23" s="13" t="s">
        <v>37</v>
      </c>
      <c r="T23" s="15">
        <v>78</v>
      </c>
      <c r="U23" s="15">
        <v>113.97</v>
      </c>
      <c r="V23" s="15"/>
      <c r="W23" s="15"/>
      <c r="X23" s="15"/>
      <c r="Y23" s="203">
        <f>SUM(AT_2015[[#This Row],[Mão de obra]:[Outros]])</f>
        <v>191.97</v>
      </c>
      <c r="Z23" s="18"/>
      <c r="AA23" s="159">
        <f>IF(AT_2015[[#This Row],[Correio]]&gt;0,1,0)</f>
        <v>0</v>
      </c>
      <c r="AB23" s="159" t="str">
        <f>IF(AT_2015[[#This Row],[Correio]]&gt;0,"sim","não")</f>
        <v>não</v>
      </c>
      <c r="AC23" s="130" t="str">
        <f t="shared" si="3"/>
        <v>02042026030.26</v>
      </c>
      <c r="AD23" s="131" t="str">
        <f t="shared" si="4"/>
        <v>SÃO PAULO</v>
      </c>
      <c r="AE23" s="132">
        <f t="shared" si="5"/>
        <v>78</v>
      </c>
      <c r="AF23" s="132">
        <f t="shared" si="6"/>
        <v>113.97</v>
      </c>
      <c r="AG23" s="132">
        <f t="shared" si="7"/>
        <v>0</v>
      </c>
      <c r="AH23" s="132">
        <f t="shared" si="8"/>
        <v>0</v>
      </c>
      <c r="AI23" s="125"/>
      <c r="AJ23" s="125"/>
      <c r="AK23" s="125"/>
      <c r="AL23" s="125"/>
      <c r="AM23" s="125"/>
      <c r="AN23" s="125"/>
      <c r="AO23" s="125"/>
      <c r="AP23" s="133">
        <v>19</v>
      </c>
      <c r="AQ23" s="134" t="s">
        <v>74</v>
      </c>
      <c r="AR23" s="125"/>
      <c r="AS23" s="125"/>
      <c r="AT23" s="125"/>
      <c r="AU23" s="135" t="str">
        <f t="shared" si="1"/>
        <v>042026UniportasARLIZ</v>
      </c>
      <c r="AV23" s="136">
        <f t="shared" si="2"/>
        <v>191.97</v>
      </c>
    </row>
    <row r="24" spans="1:48" ht="26.25" customHeight="1">
      <c r="A24" s="5">
        <f>IF(AT_2015[[#This Row],[Data ]]&gt;1,1,0)</f>
        <v>1</v>
      </c>
      <c r="B24" s="6">
        <v>46114</v>
      </c>
      <c r="C24" s="7" t="s">
        <v>277</v>
      </c>
      <c r="D24" s="8" t="s">
        <v>284</v>
      </c>
      <c r="E24" s="9" t="s">
        <v>285</v>
      </c>
      <c r="F24" s="193" t="s">
        <v>286</v>
      </c>
      <c r="G24" s="9" t="s">
        <v>287</v>
      </c>
      <c r="H24" s="10">
        <v>1</v>
      </c>
      <c r="I24" s="10" t="s">
        <v>39</v>
      </c>
      <c r="J24" s="9" t="s">
        <v>288</v>
      </c>
      <c r="K24" s="9"/>
      <c r="L24" s="9" t="s">
        <v>35</v>
      </c>
      <c r="M24" s="11" t="s">
        <v>9</v>
      </c>
      <c r="N24" s="9" t="s">
        <v>289</v>
      </c>
      <c r="O24" s="12" t="s">
        <v>289</v>
      </c>
      <c r="P24" s="13" t="s">
        <v>36</v>
      </c>
      <c r="Q24" s="9" t="s">
        <v>195</v>
      </c>
      <c r="R24" s="14"/>
      <c r="S24" s="13" t="s">
        <v>37</v>
      </c>
      <c r="T24" s="15">
        <v>78</v>
      </c>
      <c r="U24" s="15">
        <v>113.97</v>
      </c>
      <c r="V24" s="15"/>
      <c r="W24" s="15"/>
      <c r="X24" s="15"/>
      <c r="Y24" s="203">
        <f>SUM(AT_2015[[#This Row],[Mão de obra]:[Outros]])</f>
        <v>191.97</v>
      </c>
      <c r="Z24" s="18"/>
      <c r="AA24" s="159">
        <f>IF(AT_2015[[#This Row],[Correio]]&gt;0,1,0)</f>
        <v>0</v>
      </c>
      <c r="AB24" s="159" t="str">
        <f>IF(AT_2015[[#This Row],[Correio]]&gt;0,"sim","não")</f>
        <v>não</v>
      </c>
      <c r="AC24" s="130" t="str">
        <f t="shared" si="3"/>
        <v>02042026026.26</v>
      </c>
      <c r="AD24" s="131" t="str">
        <f t="shared" si="4"/>
        <v>DIADEMA</v>
      </c>
      <c r="AE24" s="132">
        <f t="shared" si="5"/>
        <v>78</v>
      </c>
      <c r="AF24" s="132">
        <f t="shared" si="6"/>
        <v>113.97</v>
      </c>
      <c r="AG24" s="132">
        <f t="shared" si="7"/>
        <v>0</v>
      </c>
      <c r="AH24" s="132">
        <f t="shared" si="8"/>
        <v>0</v>
      </c>
      <c r="AI24" s="125"/>
      <c r="AJ24" s="125"/>
      <c r="AK24" s="125"/>
      <c r="AL24" s="125"/>
      <c r="AM24" s="125"/>
      <c r="AN24" s="125"/>
      <c r="AO24" s="125"/>
      <c r="AP24" s="133">
        <v>20</v>
      </c>
      <c r="AQ24" s="134" t="s">
        <v>71</v>
      </c>
      <c r="AR24" s="125"/>
      <c r="AS24" s="125"/>
      <c r="AT24" s="125"/>
      <c r="AU24" s="135" t="str">
        <f t="shared" si="1"/>
        <v>042026Fornecedor</v>
      </c>
      <c r="AV24" s="136">
        <f t="shared" si="2"/>
        <v>191.97</v>
      </c>
    </row>
    <row r="25" spans="1:48" ht="26.25" customHeight="1">
      <c r="A25" s="5">
        <f>IF(AT_2015[[#This Row],[Data ]]&gt;1,1,0)</f>
        <v>1</v>
      </c>
      <c r="B25" s="6">
        <v>46106</v>
      </c>
      <c r="C25" s="7" t="s">
        <v>188</v>
      </c>
      <c r="D25" s="8" t="s">
        <v>290</v>
      </c>
      <c r="E25" s="9" t="s">
        <v>225</v>
      </c>
      <c r="F25" s="193" t="s">
        <v>291</v>
      </c>
      <c r="G25" s="9" t="s">
        <v>292</v>
      </c>
      <c r="H25" s="10">
        <v>1</v>
      </c>
      <c r="I25" s="10" t="s">
        <v>33</v>
      </c>
      <c r="J25" s="9" t="s">
        <v>293</v>
      </c>
      <c r="K25" s="9" t="s">
        <v>43</v>
      </c>
      <c r="L25" s="9" t="s">
        <v>35</v>
      </c>
      <c r="M25" s="11" t="s">
        <v>9</v>
      </c>
      <c r="N25" s="9" t="s">
        <v>193</v>
      </c>
      <c r="O25" s="12" t="s">
        <v>193</v>
      </c>
      <c r="P25" s="13" t="s">
        <v>36</v>
      </c>
      <c r="Q25" s="9" t="s">
        <v>195</v>
      </c>
      <c r="R25" s="14"/>
      <c r="S25" s="13" t="s">
        <v>37</v>
      </c>
      <c r="T25" s="15">
        <v>78</v>
      </c>
      <c r="U25" s="15"/>
      <c r="V25" s="15"/>
      <c r="W25" s="15"/>
      <c r="X25" s="15"/>
      <c r="Y25" s="203">
        <f>SUM(AT_2015[[#This Row],[Mão de obra]:[Outros]])</f>
        <v>78</v>
      </c>
      <c r="Z25" s="158"/>
      <c r="AA25" s="159">
        <f>IF(AT_2015[[#This Row],[Correio]]&gt;0,1,0)</f>
        <v>0</v>
      </c>
      <c r="AB25" s="159" t="str">
        <f>IF(AT_2015[[#This Row],[Correio]]&gt;0,"sim","não")</f>
        <v>não</v>
      </c>
      <c r="AC25" s="130" t="str">
        <f t="shared" si="3"/>
        <v>25032026020.26</v>
      </c>
      <c r="AD25" s="131" t="str">
        <f t="shared" si="4"/>
        <v>ARAÇOIABA DA SERRA</v>
      </c>
      <c r="AE25" s="132">
        <f t="shared" si="5"/>
        <v>78</v>
      </c>
      <c r="AF25" s="132">
        <f t="shared" si="6"/>
        <v>0</v>
      </c>
      <c r="AG25" s="132">
        <f t="shared" si="7"/>
        <v>0</v>
      </c>
      <c r="AH25" s="132">
        <f t="shared" si="8"/>
        <v>0</v>
      </c>
      <c r="AI25" s="125"/>
      <c r="AJ25" s="125"/>
      <c r="AK25" s="125"/>
      <c r="AL25" s="125"/>
      <c r="AM25" s="125"/>
      <c r="AN25" s="125"/>
      <c r="AO25" s="125"/>
      <c r="AP25" s="133">
        <v>21</v>
      </c>
      <c r="AQ25" s="134" t="s">
        <v>56</v>
      </c>
      <c r="AR25" s="125"/>
      <c r="AS25" s="125"/>
      <c r="AT25" s="125"/>
      <c r="AU25" s="135" t="str">
        <f t="shared" si="1"/>
        <v>032026FornecedorMGM</v>
      </c>
      <c r="AV25" s="136">
        <f t="shared" si="2"/>
        <v>78</v>
      </c>
    </row>
    <row r="26" spans="1:48" ht="26.25" customHeight="1">
      <c r="A26" s="5">
        <f>IF(AT_2015[[#This Row],[Data ]]&gt;1,1,0)</f>
        <v>1</v>
      </c>
      <c r="B26" s="6">
        <v>46094</v>
      </c>
      <c r="C26" s="7" t="s">
        <v>188</v>
      </c>
      <c r="D26" s="8" t="s">
        <v>294</v>
      </c>
      <c r="E26" s="9" t="s">
        <v>225</v>
      </c>
      <c r="F26" s="194" t="s">
        <v>295</v>
      </c>
      <c r="G26" s="9" t="s">
        <v>296</v>
      </c>
      <c r="H26" s="10">
        <v>1</v>
      </c>
      <c r="I26" s="10" t="s">
        <v>33</v>
      </c>
      <c r="J26" s="9" t="s">
        <v>241</v>
      </c>
      <c r="K26" s="9" t="s">
        <v>43</v>
      </c>
      <c r="L26" s="9" t="s">
        <v>35</v>
      </c>
      <c r="M26" s="11" t="s">
        <v>9</v>
      </c>
      <c r="N26" s="9" t="s">
        <v>193</v>
      </c>
      <c r="O26" s="12" t="s">
        <v>297</v>
      </c>
      <c r="P26" s="13" t="s">
        <v>36</v>
      </c>
      <c r="Q26" s="9" t="s">
        <v>222</v>
      </c>
      <c r="R26" s="14"/>
      <c r="S26" s="13" t="s">
        <v>36</v>
      </c>
      <c r="T26" s="15"/>
      <c r="U26" s="15"/>
      <c r="V26" s="15">
        <v>30</v>
      </c>
      <c r="W26" s="15"/>
      <c r="X26" s="15"/>
      <c r="Y26" s="203">
        <f>SUM(AT_2015[[#This Row],[Mão de obra]:[Outros]])</f>
        <v>30</v>
      </c>
      <c r="Z26" s="18"/>
      <c r="AA26" s="159">
        <f>IF(AT_2015[[#This Row],[Correio]]&gt;0,1,0)</f>
        <v>1</v>
      </c>
      <c r="AB26" s="159" t="str">
        <f>IF(AT_2015[[#This Row],[Correio]]&gt;0,"sim","não")</f>
        <v>sim</v>
      </c>
      <c r="AC26" s="130" t="str">
        <f t="shared" si="3"/>
        <v>13032026021.26</v>
      </c>
      <c r="AD26" s="131" t="str">
        <f t="shared" si="4"/>
        <v>PIEDADE</v>
      </c>
      <c r="AE26" s="132">
        <f t="shared" si="5"/>
        <v>0</v>
      </c>
      <c r="AF26" s="132">
        <f t="shared" si="6"/>
        <v>0</v>
      </c>
      <c r="AG26" s="132">
        <f t="shared" si="7"/>
        <v>30</v>
      </c>
      <c r="AH26" s="132">
        <f t="shared" si="8"/>
        <v>0</v>
      </c>
      <c r="AI26" s="125"/>
      <c r="AJ26" s="125"/>
      <c r="AK26" s="125"/>
      <c r="AL26" s="125"/>
      <c r="AM26" s="125"/>
      <c r="AN26" s="125"/>
      <c r="AO26" s="125"/>
      <c r="AP26" s="133">
        <v>22</v>
      </c>
      <c r="AQ26" s="134" t="s">
        <v>69</v>
      </c>
      <c r="AR26" s="125"/>
      <c r="AS26" s="125"/>
      <c r="AT26" s="125"/>
      <c r="AU26" s="135" t="str">
        <f t="shared" si="1"/>
        <v>032026FornecedorMGM</v>
      </c>
      <c r="AV26" s="136">
        <f t="shared" si="2"/>
        <v>30</v>
      </c>
    </row>
    <row r="27" spans="1:48" ht="26.25" customHeight="1">
      <c r="A27" s="5">
        <f>IF(AT_2015[[#This Row],[Data ]]&gt;1,1,0)</f>
        <v>1</v>
      </c>
      <c r="B27" s="6">
        <v>46120</v>
      </c>
      <c r="C27" s="7" t="s">
        <v>277</v>
      </c>
      <c r="D27" s="8" t="s">
        <v>294</v>
      </c>
      <c r="E27" s="9" t="s">
        <v>225</v>
      </c>
      <c r="F27" s="194" t="s">
        <v>295</v>
      </c>
      <c r="G27" s="9" t="s">
        <v>296</v>
      </c>
      <c r="H27" s="10">
        <v>1</v>
      </c>
      <c r="I27" s="10" t="s">
        <v>33</v>
      </c>
      <c r="J27" s="9" t="s">
        <v>241</v>
      </c>
      <c r="K27" s="9" t="s">
        <v>43</v>
      </c>
      <c r="L27" s="9" t="s">
        <v>35</v>
      </c>
      <c r="M27" s="11" t="s">
        <v>9</v>
      </c>
      <c r="N27" s="9" t="s">
        <v>193</v>
      </c>
      <c r="O27" s="12" t="s">
        <v>297</v>
      </c>
      <c r="P27" s="13" t="s">
        <v>36</v>
      </c>
      <c r="Q27" s="9" t="s">
        <v>222</v>
      </c>
      <c r="R27" s="14"/>
      <c r="S27" s="13" t="s">
        <v>36</v>
      </c>
      <c r="T27" s="15"/>
      <c r="U27" s="15"/>
      <c r="V27" s="15">
        <v>31.9</v>
      </c>
      <c r="W27" s="15"/>
      <c r="X27" s="15"/>
      <c r="Y27" s="203">
        <f>SUM(AT_2015[[#This Row],[Mão de obra]:[Outros]])</f>
        <v>31.9</v>
      </c>
      <c r="Z27" s="18"/>
      <c r="AA27" s="159">
        <f>IF(AT_2015[[#This Row],[Correio]]&gt;0,1,0)</f>
        <v>1</v>
      </c>
      <c r="AB27" s="159" t="str">
        <f>IF(AT_2015[[#This Row],[Correio]]&gt;0,"sim","não")</f>
        <v>sim</v>
      </c>
      <c r="AC27" s="130" t="str">
        <f t="shared" si="3"/>
        <v>08042026021.26</v>
      </c>
      <c r="AD27" s="131" t="str">
        <f t="shared" si="4"/>
        <v>PIEDADE</v>
      </c>
      <c r="AE27" s="132">
        <f t="shared" si="5"/>
        <v>0</v>
      </c>
      <c r="AF27" s="132">
        <f t="shared" si="6"/>
        <v>0</v>
      </c>
      <c r="AG27" s="132">
        <f t="shared" si="7"/>
        <v>31.9</v>
      </c>
      <c r="AH27" s="132">
        <f t="shared" si="8"/>
        <v>0</v>
      </c>
      <c r="AI27" s="125"/>
      <c r="AJ27" s="125"/>
      <c r="AK27" s="125"/>
      <c r="AL27" s="125"/>
      <c r="AM27" s="125"/>
      <c r="AN27" s="125"/>
      <c r="AO27" s="125"/>
      <c r="AP27" s="133">
        <v>23</v>
      </c>
      <c r="AQ27" s="134" t="s">
        <v>75</v>
      </c>
      <c r="AR27" s="125"/>
      <c r="AS27" s="125"/>
      <c r="AT27" s="125"/>
      <c r="AU27" s="135" t="str">
        <f t="shared" si="1"/>
        <v>042026FornecedorMGM</v>
      </c>
      <c r="AV27" s="136">
        <f t="shared" si="2"/>
        <v>31.9</v>
      </c>
    </row>
    <row r="28" spans="1:48" ht="26.25" customHeight="1">
      <c r="A28" s="5">
        <f>IF(AT_2015[[#This Row],[Data ]]&gt;1,1,0)</f>
        <v>1</v>
      </c>
      <c r="B28" s="6">
        <v>46120</v>
      </c>
      <c r="C28" s="7" t="s">
        <v>277</v>
      </c>
      <c r="D28" s="8" t="s">
        <v>298</v>
      </c>
      <c r="E28" s="9" t="s">
        <v>217</v>
      </c>
      <c r="F28" s="193" t="s">
        <v>299</v>
      </c>
      <c r="G28" s="9" t="s">
        <v>300</v>
      </c>
      <c r="H28" s="10">
        <v>1</v>
      </c>
      <c r="I28" s="10" t="s">
        <v>33</v>
      </c>
      <c r="J28" s="9" t="s">
        <v>301</v>
      </c>
      <c r="K28" s="9" t="s">
        <v>34</v>
      </c>
      <c r="L28" s="68" t="s">
        <v>35</v>
      </c>
      <c r="M28" s="11" t="s">
        <v>9</v>
      </c>
      <c r="N28" s="68" t="s">
        <v>242</v>
      </c>
      <c r="O28" s="12" t="s">
        <v>242</v>
      </c>
      <c r="P28" s="13" t="s">
        <v>36</v>
      </c>
      <c r="Q28" s="9" t="s">
        <v>222</v>
      </c>
      <c r="R28" s="14"/>
      <c r="S28" s="13" t="s">
        <v>36</v>
      </c>
      <c r="T28" s="15"/>
      <c r="U28" s="15"/>
      <c r="V28" s="15">
        <v>25.9</v>
      </c>
      <c r="W28" s="15"/>
      <c r="X28" s="15"/>
      <c r="Y28" s="203">
        <f>SUM(AT_2015[[#This Row],[Mão de obra]:[Outros]])</f>
        <v>25.9</v>
      </c>
      <c r="Z28" s="18"/>
      <c r="AA28" s="159">
        <f>IF(AT_2015[[#This Row],[Correio]]&gt;0,1,0)</f>
        <v>1</v>
      </c>
      <c r="AB28" s="159" t="str">
        <f>IF(AT_2015[[#This Row],[Correio]]&gt;0,"sim","não")</f>
        <v>sim</v>
      </c>
      <c r="AC28" s="130" t="str">
        <f t="shared" si="3"/>
        <v>08042026028.26</v>
      </c>
      <c r="AD28" s="131" t="str">
        <f t="shared" si="4"/>
        <v>ATATIBA</v>
      </c>
      <c r="AE28" s="132">
        <f t="shared" si="5"/>
        <v>0</v>
      </c>
      <c r="AF28" s="132">
        <f t="shared" si="6"/>
        <v>0</v>
      </c>
      <c r="AG28" s="132">
        <f t="shared" si="7"/>
        <v>25.9</v>
      </c>
      <c r="AH28" s="132">
        <f t="shared" si="8"/>
        <v>0</v>
      </c>
      <c r="AI28" s="125"/>
      <c r="AJ28" s="125"/>
      <c r="AK28" s="125"/>
      <c r="AL28" s="125"/>
      <c r="AM28" s="125"/>
      <c r="AN28" s="125"/>
      <c r="AO28" s="125"/>
      <c r="AP28" s="133">
        <v>24</v>
      </c>
      <c r="AQ28" s="134" t="s">
        <v>76</v>
      </c>
      <c r="AR28" s="125"/>
      <c r="AS28" s="125"/>
      <c r="AT28" s="125"/>
      <c r="AU28" s="135" t="str">
        <f t="shared" si="1"/>
        <v>042026FornecedorNAVAS</v>
      </c>
      <c r="AV28" s="136">
        <f>SUM(T28:X28)</f>
        <v>25.9</v>
      </c>
    </row>
    <row r="29" spans="1:48" ht="26.25" customHeight="1">
      <c r="A29" s="5">
        <f>IF(AT_2015[[#This Row],[Data ]]&gt;1,1,0)</f>
        <v>1</v>
      </c>
      <c r="B29" s="6">
        <v>46111</v>
      </c>
      <c r="C29" s="7" t="s">
        <v>188</v>
      </c>
      <c r="D29" s="8" t="s">
        <v>174</v>
      </c>
      <c r="E29" s="9" t="s">
        <v>204</v>
      </c>
      <c r="F29" s="193" t="s">
        <v>302</v>
      </c>
      <c r="G29" s="9" t="s">
        <v>303</v>
      </c>
      <c r="H29" s="10">
        <v>1</v>
      </c>
      <c r="I29" s="10" t="s">
        <v>33</v>
      </c>
      <c r="J29" s="9" t="s">
        <v>241</v>
      </c>
      <c r="K29" s="9" t="s">
        <v>43</v>
      </c>
      <c r="L29" s="9" t="s">
        <v>35</v>
      </c>
      <c r="M29" s="11" t="s">
        <v>9</v>
      </c>
      <c r="N29" s="9" t="s">
        <v>242</v>
      </c>
      <c r="O29" s="12" t="s">
        <v>242</v>
      </c>
      <c r="P29" s="13" t="s">
        <v>36</v>
      </c>
      <c r="Q29" s="74" t="s">
        <v>304</v>
      </c>
      <c r="R29" s="14"/>
      <c r="S29" s="13" t="s">
        <v>36</v>
      </c>
      <c r="T29" s="15"/>
      <c r="U29" s="15"/>
      <c r="V29" s="204">
        <v>81.3</v>
      </c>
      <c r="W29" s="15"/>
      <c r="X29" s="15"/>
      <c r="Y29" s="203">
        <f>SUM(AT_2015[[#This Row],[Mão de obra]:[Outros]])</f>
        <v>81.3</v>
      </c>
      <c r="Z29" s="18"/>
      <c r="AA29" s="159">
        <f>IF(AT_2015[[#This Row],[Correio]]&gt;0,1,0)</f>
        <v>1</v>
      </c>
      <c r="AB29" s="159" t="str">
        <f>IF(AT_2015[[#This Row],[Correio]]&gt;0,"sim","não")</f>
        <v>sim</v>
      </c>
      <c r="AC29" s="130" t="str">
        <f t="shared" si="3"/>
        <v>30032026023.26</v>
      </c>
      <c r="AD29" s="131" t="str">
        <f t="shared" si="4"/>
        <v>SÃO PAULO</v>
      </c>
      <c r="AE29" s="132">
        <f t="shared" si="5"/>
        <v>0</v>
      </c>
      <c r="AF29" s="132">
        <f t="shared" si="6"/>
        <v>0</v>
      </c>
      <c r="AG29" s="132">
        <f t="shared" si="7"/>
        <v>81.3</v>
      </c>
      <c r="AH29" s="132">
        <f t="shared" si="8"/>
        <v>0</v>
      </c>
      <c r="AI29" s="125"/>
      <c r="AJ29" s="125"/>
      <c r="AK29" s="125"/>
      <c r="AL29" s="125"/>
      <c r="AM29" s="125"/>
      <c r="AN29" s="125"/>
      <c r="AO29" s="125"/>
      <c r="AP29" s="133">
        <v>25</v>
      </c>
      <c r="AQ29" s="134" t="s">
        <v>77</v>
      </c>
      <c r="AR29" s="125"/>
      <c r="AS29" s="125"/>
      <c r="AT29" s="125"/>
      <c r="AU29" s="135" t="str">
        <f t="shared" si="1"/>
        <v>032026FornecedorMGM</v>
      </c>
      <c r="AV29" s="136">
        <f t="shared" si="2"/>
        <v>81.3</v>
      </c>
    </row>
    <row r="30" spans="1:48" ht="26.25" customHeight="1">
      <c r="A30" s="5">
        <f>IF(AT_2015[[#This Row],[Data ]]&gt;1,1,0)</f>
        <v>1</v>
      </c>
      <c r="B30" s="6">
        <v>46106</v>
      </c>
      <c r="C30" s="7" t="s">
        <v>188</v>
      </c>
      <c r="D30" s="8" t="s">
        <v>305</v>
      </c>
      <c r="E30" s="9" t="s">
        <v>306</v>
      </c>
      <c r="F30" s="194" t="s">
        <v>307</v>
      </c>
      <c r="G30" s="9" t="s">
        <v>306</v>
      </c>
      <c r="H30" s="10">
        <v>1</v>
      </c>
      <c r="I30" s="10" t="s">
        <v>33</v>
      </c>
      <c r="J30" s="9" t="s">
        <v>241</v>
      </c>
      <c r="K30" s="9" t="s">
        <v>43</v>
      </c>
      <c r="L30" s="9" t="s">
        <v>57</v>
      </c>
      <c r="M30" s="11" t="s">
        <v>47</v>
      </c>
      <c r="N30" s="9" t="s">
        <v>308</v>
      </c>
      <c r="O30" s="12" t="s">
        <v>308</v>
      </c>
      <c r="P30" s="13" t="s">
        <v>36</v>
      </c>
      <c r="Q30" s="9" t="s">
        <v>222</v>
      </c>
      <c r="R30" s="14"/>
      <c r="S30" s="13" t="s">
        <v>37</v>
      </c>
      <c r="T30" s="15"/>
      <c r="U30" s="15"/>
      <c r="V30" s="15">
        <v>29.7</v>
      </c>
      <c r="W30" s="15"/>
      <c r="X30" s="15"/>
      <c r="Y30" s="203">
        <f>SUM(AT_2015[[#This Row],[Mão de obra]:[Outros]])</f>
        <v>29.7</v>
      </c>
      <c r="Z30" s="18"/>
      <c r="AA30" s="159">
        <f>IF(AT_2015[[#This Row],[Correio]]&gt;0,1,0)</f>
        <v>1</v>
      </c>
      <c r="AB30" s="159" t="str">
        <f>IF(AT_2015[[#This Row],[Correio]]&gt;0,"sim","não")</f>
        <v>sim</v>
      </c>
      <c r="AC30" s="130" t="str">
        <f t="shared" si="3"/>
        <v>25032026027.26</v>
      </c>
      <c r="AD30" s="131" t="str">
        <f t="shared" si="4"/>
        <v>SÃO BERNARDO DO CAMPO</v>
      </c>
      <c r="AE30" s="132">
        <f t="shared" si="5"/>
        <v>0</v>
      </c>
      <c r="AF30" s="132">
        <f t="shared" si="6"/>
        <v>0</v>
      </c>
      <c r="AG30" s="132">
        <f t="shared" si="7"/>
        <v>29.7</v>
      </c>
      <c r="AH30" s="132">
        <f t="shared" si="8"/>
        <v>0</v>
      </c>
      <c r="AI30" s="125"/>
      <c r="AJ30" s="125"/>
      <c r="AK30" s="125"/>
      <c r="AL30" s="125"/>
      <c r="AM30" s="125"/>
      <c r="AN30" s="125"/>
      <c r="AO30" s="125"/>
      <c r="AP30" s="133">
        <v>26</v>
      </c>
      <c r="AQ30" s="134" t="s">
        <v>78</v>
      </c>
      <c r="AR30" s="125"/>
      <c r="AS30" s="125"/>
      <c r="AT30" s="125"/>
      <c r="AU30" s="135" t="str">
        <f t="shared" si="1"/>
        <v>032026UniportasMGM</v>
      </c>
      <c r="AV30" s="136">
        <f t="shared" si="2"/>
        <v>29.7</v>
      </c>
    </row>
    <row r="31" spans="1:48" ht="26.25" customHeight="1">
      <c r="A31" s="5">
        <f>IF(AT_2015[[#This Row],[Data ]]&gt;1,1,0)</f>
        <v>1</v>
      </c>
      <c r="B31" s="6">
        <v>46134</v>
      </c>
      <c r="C31" s="7" t="s">
        <v>277</v>
      </c>
      <c r="D31" s="8" t="s">
        <v>174</v>
      </c>
      <c r="E31" s="9" t="s">
        <v>309</v>
      </c>
      <c r="F31" s="193" t="s">
        <v>310</v>
      </c>
      <c r="G31" s="9" t="s">
        <v>311</v>
      </c>
      <c r="H31" s="10">
        <v>1</v>
      </c>
      <c r="I31" s="10" t="s">
        <v>39</v>
      </c>
      <c r="J31" s="9" t="s">
        <v>312</v>
      </c>
      <c r="K31" s="9" t="s">
        <v>73</v>
      </c>
      <c r="L31" s="9" t="s">
        <v>57</v>
      </c>
      <c r="M31" s="11" t="s">
        <v>47</v>
      </c>
      <c r="N31" s="9" t="s">
        <v>313</v>
      </c>
      <c r="O31" s="12" t="s">
        <v>313</v>
      </c>
      <c r="P31" s="13" t="s">
        <v>37</v>
      </c>
      <c r="Q31" s="9" t="s">
        <v>314</v>
      </c>
      <c r="R31" s="14"/>
      <c r="S31" s="13" t="s">
        <v>37</v>
      </c>
      <c r="T31" s="15">
        <v>76</v>
      </c>
      <c r="U31" s="15">
        <v>50</v>
      </c>
      <c r="V31" s="15"/>
      <c r="W31" s="15"/>
      <c r="X31" s="15"/>
      <c r="Y31" s="203">
        <f>SUM(AT_2015[[#This Row],[Mão de obra]:[Outros]])</f>
        <v>126</v>
      </c>
      <c r="Z31" s="18"/>
      <c r="AA31" s="159">
        <f>IF(AT_2015[[#This Row],[Correio]]&gt;0,1,0)</f>
        <v>0</v>
      </c>
      <c r="AB31" s="159" t="str">
        <f>IF(AT_2015[[#This Row],[Correio]]&gt;0,"sim","não")</f>
        <v>não</v>
      </c>
      <c r="AC31" s="130" t="str">
        <f t="shared" si="3"/>
        <v>22042026042.26</v>
      </c>
      <c r="AD31" s="131" t="str">
        <f t="shared" si="4"/>
        <v>SÃO PAULO</v>
      </c>
      <c r="AE31" s="132">
        <f t="shared" si="5"/>
        <v>76</v>
      </c>
      <c r="AF31" s="132">
        <f t="shared" si="6"/>
        <v>50</v>
      </c>
      <c r="AG31" s="132">
        <f t="shared" si="7"/>
        <v>0</v>
      </c>
      <c r="AH31" s="132">
        <f t="shared" si="8"/>
        <v>0</v>
      </c>
      <c r="AI31" s="125"/>
      <c r="AJ31" s="125"/>
      <c r="AK31" s="125"/>
      <c r="AL31" s="125"/>
      <c r="AM31" s="125"/>
      <c r="AN31" s="125"/>
      <c r="AO31" s="125"/>
      <c r="AP31" s="133">
        <v>27</v>
      </c>
      <c r="AQ31" s="134" t="s">
        <v>79</v>
      </c>
      <c r="AR31" s="125"/>
      <c r="AS31" s="125"/>
      <c r="AT31" s="125"/>
      <c r="AU31" s="135" t="str">
        <f t="shared" si="1"/>
        <v>042026UniportasPOLTRONIERI</v>
      </c>
      <c r="AV31" s="136">
        <f t="shared" si="2"/>
        <v>126</v>
      </c>
    </row>
    <row r="32" spans="1:48" ht="26.25" customHeight="1">
      <c r="A32" s="5">
        <f>IF(AT_2015[[#This Row],[Data ]]&gt;1,1,0)</f>
        <v>1</v>
      </c>
      <c r="B32" s="6">
        <v>46135</v>
      </c>
      <c r="C32" s="7" t="s">
        <v>277</v>
      </c>
      <c r="D32" s="8" t="s">
        <v>174</v>
      </c>
      <c r="E32" s="9" t="s">
        <v>315</v>
      </c>
      <c r="F32" s="193" t="s">
        <v>316</v>
      </c>
      <c r="G32" s="9" t="s">
        <v>317</v>
      </c>
      <c r="H32" s="10">
        <v>1</v>
      </c>
      <c r="I32" s="10" t="s">
        <v>33</v>
      </c>
      <c r="J32" s="9" t="s">
        <v>241</v>
      </c>
      <c r="K32" s="9" t="s">
        <v>43</v>
      </c>
      <c r="L32" s="9" t="s">
        <v>35</v>
      </c>
      <c r="M32" s="11" t="s">
        <v>9</v>
      </c>
      <c r="N32" s="9" t="s">
        <v>318</v>
      </c>
      <c r="O32" s="12" t="s">
        <v>319</v>
      </c>
      <c r="P32" s="13" t="s">
        <v>36</v>
      </c>
      <c r="Q32" s="9" t="s">
        <v>195</v>
      </c>
      <c r="R32" s="14"/>
      <c r="S32" s="13" t="s">
        <v>36</v>
      </c>
      <c r="T32" s="15">
        <v>76</v>
      </c>
      <c r="U32" s="15">
        <v>63</v>
      </c>
      <c r="V32" s="15"/>
      <c r="W32" s="15"/>
      <c r="X32" s="15"/>
      <c r="Y32" s="203">
        <f>SUM(AT_2015[[#This Row],[Mão de obra]:[Outros]])</f>
        <v>139</v>
      </c>
      <c r="Z32" s="18"/>
      <c r="AA32" s="159">
        <f>IF(AT_2015[[#This Row],[Correio]]&gt;0,1,0)</f>
        <v>0</v>
      </c>
      <c r="AB32" s="159" t="str">
        <f>IF(AT_2015[[#This Row],[Correio]]&gt;0,"sim","não")</f>
        <v>não</v>
      </c>
      <c r="AC32" s="130" t="str">
        <f t="shared" si="3"/>
        <v>23042026022.26</v>
      </c>
      <c r="AD32" s="131" t="str">
        <f t="shared" si="4"/>
        <v>SÃO PAULO</v>
      </c>
      <c r="AE32" s="132">
        <f t="shared" si="5"/>
        <v>76</v>
      </c>
      <c r="AF32" s="132">
        <f t="shared" si="6"/>
        <v>63</v>
      </c>
      <c r="AG32" s="132">
        <f t="shared" si="7"/>
        <v>0</v>
      </c>
      <c r="AH32" s="132">
        <f t="shared" si="8"/>
        <v>0</v>
      </c>
      <c r="AI32" s="125"/>
      <c r="AJ32" s="125"/>
      <c r="AK32" s="125"/>
      <c r="AL32" s="125"/>
      <c r="AM32" s="125"/>
      <c r="AN32" s="125"/>
      <c r="AO32" s="125"/>
      <c r="AP32" s="133"/>
      <c r="AQ32" s="125"/>
      <c r="AR32" s="125"/>
      <c r="AS32" s="125"/>
      <c r="AT32" s="125"/>
      <c r="AU32" s="135" t="str">
        <f t="shared" si="1"/>
        <v>042026FornecedorMGM</v>
      </c>
      <c r="AV32" s="136">
        <f t="shared" si="2"/>
        <v>139</v>
      </c>
    </row>
    <row r="33" spans="1:48" ht="26.25" customHeight="1">
      <c r="A33" s="5">
        <f>IF(AT_2015[[#This Row],[Data ]]&gt;1,1,0)</f>
        <v>1</v>
      </c>
      <c r="B33" s="6">
        <v>46135</v>
      </c>
      <c r="C33" s="7" t="s">
        <v>277</v>
      </c>
      <c r="D33" s="8" t="s">
        <v>255</v>
      </c>
      <c r="E33" s="9" t="s">
        <v>320</v>
      </c>
      <c r="F33" s="193" t="s">
        <v>321</v>
      </c>
      <c r="G33" s="9" t="s">
        <v>322</v>
      </c>
      <c r="H33" s="10">
        <v>1</v>
      </c>
      <c r="I33" s="10" t="s">
        <v>33</v>
      </c>
      <c r="J33" s="9" t="s">
        <v>323</v>
      </c>
      <c r="K33" s="9" t="s">
        <v>34</v>
      </c>
      <c r="L33" s="9" t="s">
        <v>35</v>
      </c>
      <c r="M33" s="11" t="s">
        <v>9</v>
      </c>
      <c r="N33" s="9" t="s">
        <v>324</v>
      </c>
      <c r="O33" s="12" t="s">
        <v>242</v>
      </c>
      <c r="P33" s="13" t="s">
        <v>36</v>
      </c>
      <c r="Q33" s="9" t="s">
        <v>195</v>
      </c>
      <c r="R33" s="14"/>
      <c r="S33" s="13" t="s">
        <v>36</v>
      </c>
      <c r="T33" s="15">
        <v>78</v>
      </c>
      <c r="U33" s="15">
        <v>63</v>
      </c>
      <c r="V33" s="15"/>
      <c r="W33" s="15"/>
      <c r="X33" s="15"/>
      <c r="Y33" s="203">
        <f>SUM(AT_2015[[#This Row],[Mão de obra]:[Outros]])</f>
        <v>141</v>
      </c>
      <c r="Z33" s="18"/>
      <c r="AA33" s="159">
        <f>IF(AT_2015[[#This Row],[Correio]]&gt;0,1,0)</f>
        <v>0</v>
      </c>
      <c r="AB33" s="159" t="str">
        <f>IF(AT_2015[[#This Row],[Correio]]&gt;0,"sim","não")</f>
        <v>não</v>
      </c>
      <c r="AC33" s="130" t="str">
        <f t="shared" si="3"/>
        <v>23042026040.26</v>
      </c>
      <c r="AD33" s="131" t="str">
        <f t="shared" si="4"/>
        <v>EMBU DAS ARTES</v>
      </c>
      <c r="AE33" s="132">
        <f t="shared" si="5"/>
        <v>78</v>
      </c>
      <c r="AF33" s="132">
        <f t="shared" si="6"/>
        <v>63</v>
      </c>
      <c r="AG33" s="132">
        <f t="shared" si="7"/>
        <v>0</v>
      </c>
      <c r="AH33" s="132">
        <f t="shared" si="8"/>
        <v>0</v>
      </c>
      <c r="AI33" s="125"/>
      <c r="AJ33" s="125"/>
      <c r="AK33" s="125"/>
      <c r="AL33" s="125"/>
      <c r="AM33" s="125"/>
      <c r="AN33" s="125"/>
      <c r="AO33" s="125"/>
      <c r="AP33" s="137"/>
      <c r="AQ33" s="125"/>
      <c r="AR33" s="125"/>
      <c r="AS33" s="125"/>
      <c r="AT33" s="125"/>
      <c r="AU33" s="135" t="str">
        <f t="shared" si="1"/>
        <v>042026FornecedorNAVAS</v>
      </c>
      <c r="AV33" s="136">
        <f t="shared" si="2"/>
        <v>141</v>
      </c>
    </row>
    <row r="34" spans="1:48" ht="26.25" customHeight="1">
      <c r="A34" s="5">
        <f>IF(AT_2015[[#This Row],[Data ]]&gt;1,1,0)</f>
        <v>1</v>
      </c>
      <c r="B34" s="6">
        <v>46140</v>
      </c>
      <c r="C34" s="7" t="s">
        <v>277</v>
      </c>
      <c r="D34" s="8" t="s">
        <v>325</v>
      </c>
      <c r="E34" s="9" t="s">
        <v>278</v>
      </c>
      <c r="F34" s="193" t="s">
        <v>327</v>
      </c>
      <c r="G34" s="9" t="s">
        <v>326</v>
      </c>
      <c r="H34" s="10">
        <v>1</v>
      </c>
      <c r="I34" s="10" t="s">
        <v>33</v>
      </c>
      <c r="J34" s="9" t="s">
        <v>329</v>
      </c>
      <c r="K34" s="9" t="s">
        <v>79</v>
      </c>
      <c r="L34" s="9" t="s">
        <v>57</v>
      </c>
      <c r="M34" s="11" t="s">
        <v>47</v>
      </c>
      <c r="N34" s="9" t="s">
        <v>328</v>
      </c>
      <c r="O34" s="12" t="s">
        <v>328</v>
      </c>
      <c r="P34" s="13" t="s">
        <v>37</v>
      </c>
      <c r="Q34" s="9" t="s">
        <v>203</v>
      </c>
      <c r="R34" s="14"/>
      <c r="S34" s="13" t="s">
        <v>37</v>
      </c>
      <c r="T34" s="15">
        <v>78</v>
      </c>
      <c r="U34" s="15">
        <v>141</v>
      </c>
      <c r="V34" s="15"/>
      <c r="W34" s="15"/>
      <c r="X34" s="15"/>
      <c r="Y34" s="203">
        <f>SUM(AT_2015[[#This Row],[Mão de obra]:[Outros]])</f>
        <v>219</v>
      </c>
      <c r="Z34" s="18"/>
      <c r="AA34" s="159">
        <f>IF(AT_2015[[#This Row],[Correio]]&gt;0,1,0)</f>
        <v>0</v>
      </c>
      <c r="AB34" s="159" t="str">
        <f>IF(AT_2015[[#This Row],[Correio]]&gt;0,"sim","não")</f>
        <v>não</v>
      </c>
      <c r="AC34" s="130" t="str">
        <f t="shared" si="3"/>
        <v>28042026044.26</v>
      </c>
      <c r="AD34" s="131" t="str">
        <f t="shared" si="4"/>
        <v>EMBU GUAÇU</v>
      </c>
      <c r="AE34" s="132">
        <f t="shared" si="5"/>
        <v>78</v>
      </c>
      <c r="AF34" s="132">
        <f t="shared" si="6"/>
        <v>141</v>
      </c>
      <c r="AG34" s="132">
        <f t="shared" si="7"/>
        <v>0</v>
      </c>
      <c r="AH34" s="132">
        <f t="shared" si="8"/>
        <v>0</v>
      </c>
      <c r="AI34" s="125"/>
      <c r="AJ34" s="125"/>
      <c r="AK34" s="125"/>
      <c r="AL34" s="125"/>
      <c r="AM34" s="125"/>
      <c r="AN34" s="125"/>
      <c r="AO34" s="125"/>
      <c r="AP34" s="137"/>
      <c r="AQ34" s="125"/>
      <c r="AR34" s="125"/>
      <c r="AS34" s="125"/>
      <c r="AT34" s="125"/>
      <c r="AU34" s="135" t="str">
        <f t="shared" si="1"/>
        <v>042026UniportasUNIPORTAS</v>
      </c>
      <c r="AV34" s="136">
        <f t="shared" si="2"/>
        <v>219</v>
      </c>
    </row>
    <row r="35" spans="1:48" ht="26.25" customHeight="1">
      <c r="A35" s="5">
        <f>IF(AT_2015[[#This Row],[Data ]]&gt;1,1,0)</f>
        <v>1</v>
      </c>
      <c r="B35" s="6">
        <v>46140</v>
      </c>
      <c r="C35" s="7" t="s">
        <v>277</v>
      </c>
      <c r="D35" s="8" t="s">
        <v>330</v>
      </c>
      <c r="E35" s="9" t="s">
        <v>331</v>
      </c>
      <c r="F35" s="193" t="s">
        <v>332</v>
      </c>
      <c r="G35" s="9" t="s">
        <v>333</v>
      </c>
      <c r="H35" s="10">
        <v>1</v>
      </c>
      <c r="I35" s="10" t="s">
        <v>33</v>
      </c>
      <c r="J35" s="9" t="s">
        <v>329</v>
      </c>
      <c r="K35" s="9" t="s">
        <v>79</v>
      </c>
      <c r="L35" s="9" t="s">
        <v>57</v>
      </c>
      <c r="M35" s="11" t="s">
        <v>47</v>
      </c>
      <c r="N35" s="9" t="s">
        <v>328</v>
      </c>
      <c r="O35" s="12" t="s">
        <v>328</v>
      </c>
      <c r="P35" s="13" t="s">
        <v>37</v>
      </c>
      <c r="Q35" s="9" t="s">
        <v>203</v>
      </c>
      <c r="R35" s="14"/>
      <c r="S35" s="13" t="s">
        <v>37</v>
      </c>
      <c r="T35" s="15">
        <v>78</v>
      </c>
      <c r="U35" s="15">
        <v>115</v>
      </c>
      <c r="V35" s="15"/>
      <c r="W35" s="15"/>
      <c r="X35" s="15"/>
      <c r="Y35" s="203">
        <f>SUM(AT_2015[[#This Row],[Mão de obra]:[Outros]])</f>
        <v>193</v>
      </c>
      <c r="Z35" s="18"/>
      <c r="AA35" s="159">
        <f>IF(AT_2015[[#This Row],[Correio]]&gt;0,1,0)</f>
        <v>0</v>
      </c>
      <c r="AB35" s="159" t="str">
        <f>IF(AT_2015[[#This Row],[Correio]]&gt;0,"sim","não")</f>
        <v>não</v>
      </c>
      <c r="AC35" s="130" t="str">
        <f>IF(B35="","",TEXT(B35,"ddmmaaaa")&amp;F35)</f>
        <v>28042026034.26</v>
      </c>
      <c r="AD35" s="131" t="str">
        <f t="shared" si="4"/>
        <v>OSASCO</v>
      </c>
      <c r="AE35" s="132">
        <f t="shared" si="5"/>
        <v>78</v>
      </c>
      <c r="AF35" s="132">
        <f t="shared" si="6"/>
        <v>115</v>
      </c>
      <c r="AG35" s="132">
        <f t="shared" si="7"/>
        <v>0</v>
      </c>
      <c r="AH35" s="132">
        <f t="shared" si="8"/>
        <v>0</v>
      </c>
      <c r="AI35" s="125"/>
      <c r="AJ35" s="125"/>
      <c r="AK35" s="125"/>
      <c r="AL35" s="125"/>
      <c r="AM35" s="125"/>
      <c r="AN35" s="125"/>
      <c r="AO35" s="125"/>
      <c r="AP35" s="137"/>
      <c r="AQ35" s="125"/>
      <c r="AR35" s="125"/>
      <c r="AS35" s="125"/>
      <c r="AT35" s="125"/>
      <c r="AU35" s="135" t="str">
        <f t="shared" si="1"/>
        <v>042026UniportasUNIPORTAS</v>
      </c>
      <c r="AV35" s="136">
        <f t="shared" si="2"/>
        <v>193</v>
      </c>
    </row>
    <row r="36" spans="1:48" ht="26.25" customHeight="1">
      <c r="A36" s="5">
        <f>IF(AT_2015[[#This Row],[Data ]]&gt;1,1,0)</f>
        <v>0</v>
      </c>
      <c r="B36" s="6"/>
      <c r="C36" s="7"/>
      <c r="D36" s="8"/>
      <c r="E36" s="9"/>
      <c r="F36" s="193"/>
      <c r="G36" s="9"/>
      <c r="H36" s="10"/>
      <c r="I36" s="10"/>
      <c r="J36" s="9"/>
      <c r="K36" s="9"/>
      <c r="L36" s="9"/>
      <c r="M36" s="11"/>
      <c r="N36" s="9"/>
      <c r="O36" s="12"/>
      <c r="P36" s="13"/>
      <c r="Q36" s="9"/>
      <c r="R36" s="14"/>
      <c r="S36" s="13"/>
      <c r="T36" s="15"/>
      <c r="U36" s="15"/>
      <c r="V36" s="15"/>
      <c r="W36" s="15"/>
      <c r="X36" s="15"/>
      <c r="Y36" s="203">
        <f>SUM(AT_2015[[#This Row],[Mão de obra]:[Outros]])</f>
        <v>0</v>
      </c>
      <c r="Z36" s="158"/>
      <c r="AA36" s="159">
        <f>IF(AT_2015[[#This Row],[Correio]]&gt;0,1,0)</f>
        <v>0</v>
      </c>
      <c r="AB36" s="159" t="str">
        <f>IF(AT_2015[[#This Row],[Correio]]&gt;0,"sim","não")</f>
        <v>não</v>
      </c>
      <c r="AC36" s="130" t="str">
        <f t="shared" si="3"/>
        <v/>
      </c>
      <c r="AD36" s="131" t="str">
        <f t="shared" si="4"/>
        <v/>
      </c>
      <c r="AE36" s="132" t="str">
        <f t="shared" si="5"/>
        <v/>
      </c>
      <c r="AF36" s="132" t="str">
        <f t="shared" si="6"/>
        <v/>
      </c>
      <c r="AG36" s="132" t="str">
        <f t="shared" si="7"/>
        <v/>
      </c>
      <c r="AH36" s="132" t="str">
        <f t="shared" si="8"/>
        <v/>
      </c>
      <c r="AI36" s="125"/>
      <c r="AJ36" s="125"/>
      <c r="AK36" s="125"/>
      <c r="AL36" s="125"/>
      <c r="AM36" s="125"/>
      <c r="AN36" s="125"/>
      <c r="AO36" s="125"/>
      <c r="AP36" s="137"/>
      <c r="AQ36" s="125"/>
      <c r="AR36" s="125"/>
      <c r="AS36" s="125"/>
      <c r="AT36" s="125"/>
      <c r="AU36" s="135" t="str">
        <f t="shared" si="1"/>
        <v/>
      </c>
      <c r="AV36" s="136">
        <f t="shared" si="2"/>
        <v>0</v>
      </c>
    </row>
    <row r="37" spans="1:48" ht="26.25" customHeight="1">
      <c r="A37" s="5">
        <f>IF(AT_2015[[#This Row],[Data ]]&gt;1,1,0)</f>
        <v>0</v>
      </c>
      <c r="B37" s="6"/>
      <c r="C37" s="7"/>
      <c r="D37" s="8"/>
      <c r="E37" s="9"/>
      <c r="F37" s="193"/>
      <c r="G37" s="9"/>
      <c r="H37" s="10"/>
      <c r="I37" s="10"/>
      <c r="J37" s="9"/>
      <c r="K37" s="9"/>
      <c r="L37" s="9"/>
      <c r="M37" s="11"/>
      <c r="N37" s="9"/>
      <c r="O37" s="12"/>
      <c r="P37" s="13"/>
      <c r="Q37" s="9"/>
      <c r="R37" s="14"/>
      <c r="S37" s="13"/>
      <c r="T37" s="15"/>
      <c r="U37" s="15"/>
      <c r="V37" s="15"/>
      <c r="W37" s="15"/>
      <c r="X37" s="15"/>
      <c r="Y37" s="203">
        <f>SUM(AT_2015[[#This Row],[Mão de obra]:[Outros]])</f>
        <v>0</v>
      </c>
      <c r="Z37" s="18"/>
      <c r="AA37" s="159">
        <f>IF(AT_2015[[#This Row],[Correio]]&gt;0,1,0)</f>
        <v>0</v>
      </c>
      <c r="AB37" s="159" t="str">
        <f>IF(AT_2015[[#This Row],[Correio]]&gt;0,"sim","não")</f>
        <v>não</v>
      </c>
      <c r="AC37" s="130" t="str">
        <f t="shared" si="3"/>
        <v/>
      </c>
      <c r="AD37" s="131" t="str">
        <f t="shared" si="4"/>
        <v/>
      </c>
      <c r="AE37" s="132" t="str">
        <f t="shared" si="5"/>
        <v/>
      </c>
      <c r="AF37" s="132" t="str">
        <f t="shared" si="6"/>
        <v/>
      </c>
      <c r="AG37" s="132" t="str">
        <f t="shared" si="7"/>
        <v/>
      </c>
      <c r="AH37" s="132" t="str">
        <f t="shared" si="8"/>
        <v/>
      </c>
      <c r="AI37" s="125"/>
      <c r="AJ37" s="125"/>
      <c r="AK37" s="125"/>
      <c r="AL37" s="125"/>
      <c r="AM37" s="125"/>
      <c r="AN37" s="125"/>
      <c r="AO37" s="125"/>
      <c r="AP37" s="137"/>
      <c r="AQ37" s="125"/>
      <c r="AR37" s="125"/>
      <c r="AS37" s="125"/>
      <c r="AT37" s="125"/>
      <c r="AU37" s="135" t="str">
        <f t="shared" si="1"/>
        <v/>
      </c>
      <c r="AV37" s="136">
        <f t="shared" si="2"/>
        <v>0</v>
      </c>
    </row>
    <row r="38" spans="1:48" ht="26.25" customHeight="1">
      <c r="A38" s="5">
        <f>IF(AT_2015[[#This Row],[Data ]]&gt;1,1,0)</f>
        <v>0</v>
      </c>
      <c r="B38" s="6"/>
      <c r="C38" s="7"/>
      <c r="D38" s="8"/>
      <c r="E38" s="9"/>
      <c r="F38" s="193"/>
      <c r="G38" s="9"/>
      <c r="H38" s="10"/>
      <c r="I38" s="10"/>
      <c r="J38" s="9"/>
      <c r="K38" s="9"/>
      <c r="L38" s="9"/>
      <c r="M38" s="11"/>
      <c r="N38" s="9"/>
      <c r="O38" s="12"/>
      <c r="P38" s="13"/>
      <c r="Q38" s="74"/>
      <c r="R38" s="14"/>
      <c r="S38" s="13"/>
      <c r="T38" s="15"/>
      <c r="U38" s="15"/>
      <c r="V38" s="15"/>
      <c r="W38" s="15"/>
      <c r="X38" s="15"/>
      <c r="Y38" s="203">
        <f>SUM(AT_2015[[#This Row],[Mão de obra]:[Outros]])</f>
        <v>0</v>
      </c>
      <c r="Z38" s="18"/>
      <c r="AA38" s="159">
        <f>IF(AT_2015[[#This Row],[Correio]]&gt;0,1,0)</f>
        <v>0</v>
      </c>
      <c r="AB38" s="159" t="str">
        <f>IF(AT_2015[[#This Row],[Correio]]&gt;0,"sim","não")</f>
        <v>não</v>
      </c>
      <c r="AC38" s="130" t="str">
        <f t="shared" si="3"/>
        <v/>
      </c>
      <c r="AD38" s="131" t="str">
        <f t="shared" si="4"/>
        <v/>
      </c>
      <c r="AE38" s="132" t="str">
        <f t="shared" si="5"/>
        <v/>
      </c>
      <c r="AF38" s="132" t="str">
        <f t="shared" si="6"/>
        <v/>
      </c>
      <c r="AG38" s="132" t="str">
        <f t="shared" si="7"/>
        <v/>
      </c>
      <c r="AH38" s="132" t="str">
        <f t="shared" si="8"/>
        <v/>
      </c>
      <c r="AI38" s="125"/>
      <c r="AJ38" s="125"/>
      <c r="AK38" s="125"/>
      <c r="AL38" s="125"/>
      <c r="AM38" s="125"/>
      <c r="AN38" s="125"/>
      <c r="AO38" s="125"/>
      <c r="AP38" s="137"/>
      <c r="AQ38" s="125"/>
      <c r="AR38" s="125"/>
      <c r="AS38" s="125"/>
      <c r="AT38" s="125"/>
      <c r="AU38" s="135" t="str">
        <f t="shared" si="1"/>
        <v/>
      </c>
      <c r="AV38" s="136">
        <f t="shared" si="2"/>
        <v>0</v>
      </c>
    </row>
    <row r="39" spans="1:48" ht="26.25" customHeight="1">
      <c r="A39" s="5">
        <f>IF(AT_2015[[#This Row],[Data ]]&gt;1,1,0)</f>
        <v>0</v>
      </c>
      <c r="B39" s="6"/>
      <c r="C39" s="7"/>
      <c r="D39" s="8"/>
      <c r="E39" s="9"/>
      <c r="F39" s="194"/>
      <c r="G39" s="9"/>
      <c r="H39" s="10"/>
      <c r="I39" s="10"/>
      <c r="J39" s="9"/>
      <c r="K39" s="9"/>
      <c r="L39" s="9"/>
      <c r="M39" s="11"/>
      <c r="N39" s="9"/>
      <c r="O39" s="12"/>
      <c r="P39" s="13"/>
      <c r="Q39" s="68"/>
      <c r="R39" s="14"/>
      <c r="S39" s="13"/>
      <c r="T39" s="149"/>
      <c r="U39" s="15"/>
      <c r="V39" s="15"/>
      <c r="W39" s="15"/>
      <c r="X39" s="15"/>
      <c r="Y39" s="203">
        <f>SUM(AT_2015[[#This Row],[Mão de obra]:[Outros]])</f>
        <v>0</v>
      </c>
      <c r="Z39" s="157"/>
      <c r="AA39" s="159">
        <f>IF(AT_2015[[#This Row],[Correio]]&gt;0,1,0)</f>
        <v>0</v>
      </c>
      <c r="AB39" s="159" t="str">
        <f>IF(AT_2015[[#This Row],[Correio]]&gt;0,"sim","não")</f>
        <v>não</v>
      </c>
      <c r="AC39" s="130" t="str">
        <f t="shared" si="3"/>
        <v/>
      </c>
      <c r="AD39" s="131" t="str">
        <f t="shared" si="4"/>
        <v/>
      </c>
      <c r="AE39" s="132" t="str">
        <f t="shared" si="5"/>
        <v/>
      </c>
      <c r="AF39" s="132" t="str">
        <f t="shared" si="6"/>
        <v/>
      </c>
      <c r="AG39" s="132" t="str">
        <f t="shared" si="7"/>
        <v/>
      </c>
      <c r="AH39" s="132" t="str">
        <f t="shared" si="8"/>
        <v/>
      </c>
      <c r="AI39" s="125"/>
      <c r="AJ39" s="125"/>
      <c r="AK39" s="125"/>
      <c r="AL39" s="125"/>
      <c r="AM39" s="125"/>
      <c r="AN39" s="125"/>
      <c r="AO39" s="125"/>
      <c r="AP39" s="137"/>
      <c r="AQ39" s="125"/>
      <c r="AR39" s="125"/>
      <c r="AS39" s="125"/>
      <c r="AT39" s="125"/>
      <c r="AU39" s="135" t="str">
        <f t="shared" si="1"/>
        <v/>
      </c>
      <c r="AV39" s="136">
        <f t="shared" si="2"/>
        <v>0</v>
      </c>
    </row>
    <row r="40" spans="1:48" ht="26.25" customHeight="1">
      <c r="A40" s="5">
        <f>IF(AT_2015[[#This Row],[Data ]]&gt;1,1,0)</f>
        <v>0</v>
      </c>
      <c r="B40" s="6"/>
      <c r="C40" s="7"/>
      <c r="D40" s="8"/>
      <c r="E40" s="9"/>
      <c r="F40" s="193"/>
      <c r="G40" s="9"/>
      <c r="H40" s="10"/>
      <c r="I40" s="10"/>
      <c r="J40" s="9"/>
      <c r="K40" s="9"/>
      <c r="L40" s="9"/>
      <c r="M40" s="11"/>
      <c r="N40" s="9"/>
      <c r="O40" s="12"/>
      <c r="P40" s="13"/>
      <c r="Q40" s="9"/>
      <c r="R40" s="14"/>
      <c r="S40" s="13"/>
      <c r="T40" s="15"/>
      <c r="U40" s="15"/>
      <c r="V40" s="15"/>
      <c r="W40" s="15"/>
      <c r="X40" s="15"/>
      <c r="Y40" s="203">
        <f>SUM(AT_2015[[#This Row],[Mão de obra]:[Outros]])</f>
        <v>0</v>
      </c>
      <c r="Z40" s="18"/>
      <c r="AA40" s="159">
        <f>IF(AT_2015[[#This Row],[Correio]]&gt;0,1,0)</f>
        <v>0</v>
      </c>
      <c r="AB40" s="159" t="str">
        <f>IF(AT_2015[[#This Row],[Correio]]&gt;0,"sim","não")</f>
        <v>não</v>
      </c>
      <c r="AC40" s="130" t="str">
        <f t="shared" si="3"/>
        <v/>
      </c>
      <c r="AD40" s="131" t="str">
        <f t="shared" si="4"/>
        <v/>
      </c>
      <c r="AE40" s="132" t="str">
        <f t="shared" si="5"/>
        <v/>
      </c>
      <c r="AF40" s="132" t="str">
        <f t="shared" si="6"/>
        <v/>
      </c>
      <c r="AG40" s="132" t="str">
        <f t="shared" si="7"/>
        <v/>
      </c>
      <c r="AH40" s="132" t="str">
        <f t="shared" si="8"/>
        <v/>
      </c>
      <c r="AI40" s="125"/>
      <c r="AJ40" s="125"/>
      <c r="AK40" s="125"/>
      <c r="AL40" s="125"/>
      <c r="AM40" s="125"/>
      <c r="AN40" s="125"/>
      <c r="AO40" s="125"/>
      <c r="AP40" s="137"/>
      <c r="AQ40" s="125"/>
      <c r="AR40" s="125"/>
      <c r="AS40" s="125"/>
      <c r="AT40" s="125"/>
      <c r="AU40" s="135" t="str">
        <f t="shared" si="1"/>
        <v/>
      </c>
      <c r="AV40" s="136">
        <f t="shared" si="2"/>
        <v>0</v>
      </c>
    </row>
    <row r="41" spans="1:48" ht="26.25" customHeight="1">
      <c r="A41" s="5">
        <f>IF(AT_2015[[#This Row],[Data ]]&gt;1,1,0)</f>
        <v>0</v>
      </c>
      <c r="B41" s="6"/>
      <c r="C41" s="7"/>
      <c r="D41" s="8"/>
      <c r="E41" s="9"/>
      <c r="F41" s="193"/>
      <c r="G41" s="9"/>
      <c r="H41" s="10"/>
      <c r="I41" s="10"/>
      <c r="J41" s="9"/>
      <c r="K41" s="9"/>
      <c r="L41" s="9"/>
      <c r="M41" s="11"/>
      <c r="N41" s="9"/>
      <c r="O41" s="12"/>
      <c r="P41" s="13"/>
      <c r="Q41" s="9"/>
      <c r="R41" s="14"/>
      <c r="S41" s="13"/>
      <c r="T41" s="15"/>
      <c r="U41" s="15"/>
      <c r="V41" s="15"/>
      <c r="W41" s="15"/>
      <c r="X41" s="15"/>
      <c r="Y41" s="203">
        <f>SUM(AT_2015[[#This Row],[Mão de obra]:[Outros]])</f>
        <v>0</v>
      </c>
      <c r="Z41" s="18"/>
      <c r="AA41" s="159">
        <f>IF(AT_2015[[#This Row],[Correio]]&gt;0,1,0)</f>
        <v>0</v>
      </c>
      <c r="AB41" s="159" t="str">
        <f>IF(AT_2015[[#This Row],[Correio]]&gt;0,"sim","não")</f>
        <v>não</v>
      </c>
      <c r="AC41" s="130" t="str">
        <f t="shared" si="3"/>
        <v/>
      </c>
      <c r="AD41" s="131" t="str">
        <f t="shared" si="4"/>
        <v/>
      </c>
      <c r="AE41" s="132" t="str">
        <f t="shared" si="5"/>
        <v/>
      </c>
      <c r="AF41" s="132" t="str">
        <f t="shared" si="6"/>
        <v/>
      </c>
      <c r="AG41" s="132" t="str">
        <f t="shared" si="7"/>
        <v/>
      </c>
      <c r="AH41" s="132" t="str">
        <f t="shared" si="8"/>
        <v/>
      </c>
      <c r="AI41" s="125"/>
      <c r="AJ41" s="125"/>
      <c r="AK41" s="125"/>
      <c r="AL41" s="125"/>
      <c r="AM41" s="125"/>
      <c r="AN41" s="125"/>
      <c r="AO41" s="125"/>
      <c r="AP41" s="137"/>
      <c r="AQ41" s="125"/>
      <c r="AR41" s="125"/>
      <c r="AS41" s="125"/>
      <c r="AT41" s="125"/>
      <c r="AU41" s="135" t="str">
        <f t="shared" si="1"/>
        <v/>
      </c>
      <c r="AV41" s="136">
        <f t="shared" si="2"/>
        <v>0</v>
      </c>
    </row>
    <row r="42" spans="1:48" ht="26.25" customHeight="1">
      <c r="A42" s="5">
        <f>IF(AT_2015[[#This Row],[Data ]]&gt;1,1,0)</f>
        <v>0</v>
      </c>
      <c r="B42" s="6"/>
      <c r="C42" s="7"/>
      <c r="D42" s="8"/>
      <c r="E42" s="9"/>
      <c r="F42" s="193"/>
      <c r="G42" s="9"/>
      <c r="H42" s="10"/>
      <c r="I42" s="10"/>
      <c r="J42" s="9"/>
      <c r="K42" s="9"/>
      <c r="L42" s="9"/>
      <c r="M42" s="11"/>
      <c r="N42" s="9"/>
      <c r="O42" s="12"/>
      <c r="P42" s="13"/>
      <c r="Q42" s="9"/>
      <c r="R42" s="14"/>
      <c r="S42" s="13"/>
      <c r="T42" s="15"/>
      <c r="U42" s="15"/>
      <c r="V42" s="15"/>
      <c r="W42" s="15"/>
      <c r="X42" s="15"/>
      <c r="Y42" s="203">
        <f>SUM(AT_2015[[#This Row],[Mão de obra]:[Outros]])</f>
        <v>0</v>
      </c>
      <c r="Z42" s="18"/>
      <c r="AA42" s="159">
        <f>IF(AT_2015[[#This Row],[Correio]]&gt;0,1,0)</f>
        <v>0</v>
      </c>
      <c r="AB42" s="159" t="str">
        <f>IF(AT_2015[[#This Row],[Correio]]&gt;0,"sim","não")</f>
        <v>não</v>
      </c>
      <c r="AC42" s="130" t="str">
        <f t="shared" si="3"/>
        <v/>
      </c>
      <c r="AD42" s="131" t="str">
        <f t="shared" si="4"/>
        <v/>
      </c>
      <c r="AE42" s="132" t="str">
        <f t="shared" si="5"/>
        <v/>
      </c>
      <c r="AF42" s="132" t="str">
        <f t="shared" si="6"/>
        <v/>
      </c>
      <c r="AG42" s="132" t="str">
        <f t="shared" si="7"/>
        <v/>
      </c>
      <c r="AH42" s="132" t="str">
        <f t="shared" si="8"/>
        <v/>
      </c>
      <c r="AI42" s="125"/>
      <c r="AJ42" s="125"/>
      <c r="AK42" s="125"/>
      <c r="AL42" s="125"/>
      <c r="AM42" s="125"/>
      <c r="AN42" s="125"/>
      <c r="AO42" s="125"/>
      <c r="AP42" s="137"/>
      <c r="AQ42" s="125"/>
      <c r="AR42" s="125"/>
      <c r="AS42" s="125"/>
      <c r="AT42" s="125"/>
      <c r="AU42" s="135" t="str">
        <f t="shared" si="1"/>
        <v/>
      </c>
      <c r="AV42" s="136">
        <f t="shared" si="2"/>
        <v>0</v>
      </c>
    </row>
    <row r="43" spans="1:48" ht="26.25" customHeight="1">
      <c r="A43" s="5">
        <f>IF(AT_2015[[#This Row],[Data ]]&gt;1,1,0)</f>
        <v>0</v>
      </c>
      <c r="B43" s="147"/>
      <c r="C43" s="148"/>
      <c r="D43" s="8"/>
      <c r="E43" s="9"/>
      <c r="F43" s="193"/>
      <c r="G43" s="9"/>
      <c r="H43" s="10"/>
      <c r="I43" s="10"/>
      <c r="J43" s="9"/>
      <c r="K43" s="9"/>
      <c r="L43" s="9"/>
      <c r="M43" s="11"/>
      <c r="N43" s="9"/>
      <c r="O43" s="12"/>
      <c r="P43" s="13"/>
      <c r="Q43" s="9"/>
      <c r="R43" s="14"/>
      <c r="S43" s="13"/>
      <c r="T43" s="15"/>
      <c r="U43" s="15"/>
      <c r="V43" s="15"/>
      <c r="W43" s="15"/>
      <c r="X43" s="15"/>
      <c r="Y43" s="203">
        <f>SUM(AT_2015[[#This Row],[Mão de obra]:[Outros]])</f>
        <v>0</v>
      </c>
      <c r="Z43" s="18"/>
      <c r="AA43" s="159">
        <f>IF(AT_2015[[#This Row],[Correio]]&gt;0,1,0)</f>
        <v>0</v>
      </c>
      <c r="AB43" s="159" t="str">
        <f>IF(AT_2015[[#This Row],[Correio]]&gt;0,"sim","não")</f>
        <v>não</v>
      </c>
      <c r="AC43" s="130" t="str">
        <f t="shared" si="3"/>
        <v/>
      </c>
      <c r="AD43" s="131" t="str">
        <f t="shared" si="4"/>
        <v/>
      </c>
      <c r="AE43" s="132" t="str">
        <f t="shared" si="5"/>
        <v/>
      </c>
      <c r="AF43" s="132" t="str">
        <f t="shared" si="6"/>
        <v/>
      </c>
      <c r="AG43" s="132" t="str">
        <f t="shared" si="7"/>
        <v/>
      </c>
      <c r="AH43" s="132" t="str">
        <f t="shared" si="8"/>
        <v/>
      </c>
      <c r="AI43" s="125"/>
      <c r="AJ43" s="125"/>
      <c r="AK43" s="125"/>
      <c r="AL43" s="125"/>
      <c r="AM43" s="125"/>
      <c r="AN43" s="125"/>
      <c r="AO43" s="125"/>
      <c r="AP43" s="137"/>
      <c r="AQ43" s="125"/>
      <c r="AR43" s="125"/>
      <c r="AS43" s="125"/>
      <c r="AT43" s="125"/>
      <c r="AU43" s="135" t="str">
        <f t="shared" si="1"/>
        <v/>
      </c>
      <c r="AV43" s="136">
        <f t="shared" si="2"/>
        <v>0</v>
      </c>
    </row>
    <row r="44" spans="1:48" ht="26.25" customHeight="1">
      <c r="A44" s="5">
        <f>IF(AT_2015[[#This Row],[Data ]]&gt;1,1,0)</f>
        <v>0</v>
      </c>
      <c r="B44" s="6"/>
      <c r="C44" s="7"/>
      <c r="D44" s="8"/>
      <c r="E44" s="9"/>
      <c r="F44" s="193"/>
      <c r="G44" s="9"/>
      <c r="H44" s="10"/>
      <c r="I44" s="10"/>
      <c r="J44" s="9"/>
      <c r="K44" s="68"/>
      <c r="L44" s="68"/>
      <c r="M44" s="69"/>
      <c r="N44" s="9"/>
      <c r="O44" s="12"/>
      <c r="P44" s="13"/>
      <c r="Q44" s="9"/>
      <c r="R44" s="14"/>
      <c r="S44" s="13"/>
      <c r="T44" s="15"/>
      <c r="U44" s="15"/>
      <c r="V44" s="15"/>
      <c r="W44" s="15"/>
      <c r="X44" s="15"/>
      <c r="Y44" s="203">
        <f>SUM(AT_2015[[#This Row],[Mão de obra]:[Outros]])</f>
        <v>0</v>
      </c>
      <c r="Z44" s="18"/>
      <c r="AA44" s="159">
        <f>IF(AT_2015[[#This Row],[Correio]]&gt;0,1,0)</f>
        <v>0</v>
      </c>
      <c r="AB44" s="159" t="str">
        <f>IF(AT_2015[[#This Row],[Correio]]&gt;0,"sim","não")</f>
        <v>não</v>
      </c>
      <c r="AC44" s="130" t="str">
        <f t="shared" si="3"/>
        <v/>
      </c>
      <c r="AD44" s="131" t="str">
        <f t="shared" si="4"/>
        <v/>
      </c>
      <c r="AE44" s="132" t="str">
        <f t="shared" si="5"/>
        <v/>
      </c>
      <c r="AF44" s="132" t="str">
        <f t="shared" si="6"/>
        <v/>
      </c>
      <c r="AG44" s="132" t="str">
        <f t="shared" si="7"/>
        <v/>
      </c>
      <c r="AH44" s="132" t="str">
        <f t="shared" si="8"/>
        <v/>
      </c>
      <c r="AI44" s="125"/>
      <c r="AJ44" s="125"/>
      <c r="AK44" s="125"/>
      <c r="AL44" s="125"/>
      <c r="AM44" s="125"/>
      <c r="AN44" s="125"/>
      <c r="AO44" s="125"/>
      <c r="AP44" s="137"/>
      <c r="AQ44" s="125"/>
      <c r="AR44" s="125"/>
      <c r="AS44" s="125"/>
      <c r="AT44" s="125"/>
      <c r="AU44" s="135" t="str">
        <f t="shared" si="1"/>
        <v/>
      </c>
      <c r="AV44" s="136">
        <f t="shared" si="2"/>
        <v>0</v>
      </c>
    </row>
    <row r="45" spans="1:48" ht="26.25" customHeight="1">
      <c r="A45" s="5">
        <f>IF(AT_2015[[#This Row],[Data ]]&gt;1,1,0)</f>
        <v>0</v>
      </c>
      <c r="B45" s="6"/>
      <c r="C45" s="7"/>
      <c r="D45" s="8"/>
      <c r="E45" s="9"/>
      <c r="F45" s="193"/>
      <c r="G45" s="9"/>
      <c r="H45" s="10"/>
      <c r="I45" s="10"/>
      <c r="J45" s="9"/>
      <c r="K45" s="9"/>
      <c r="L45" s="9"/>
      <c r="M45" s="11"/>
      <c r="N45" s="9"/>
      <c r="O45" s="12"/>
      <c r="P45" s="13"/>
      <c r="Q45" s="9"/>
      <c r="R45" s="14"/>
      <c r="S45" s="13"/>
      <c r="T45" s="15"/>
      <c r="U45" s="15"/>
      <c r="V45" s="15"/>
      <c r="W45" s="15"/>
      <c r="X45" s="15"/>
      <c r="Y45" s="203">
        <f>SUM(AT_2015[[#This Row],[Mão de obra]:[Outros]])</f>
        <v>0</v>
      </c>
      <c r="Z45" s="18"/>
      <c r="AA45" s="159">
        <f>IF(AT_2015[[#This Row],[Correio]]&gt;0,1,0)</f>
        <v>0</v>
      </c>
      <c r="AB45" s="159" t="str">
        <f>IF(AT_2015[[#This Row],[Correio]]&gt;0,"sim","não")</f>
        <v>não</v>
      </c>
      <c r="AC45" s="130" t="str">
        <f t="shared" si="3"/>
        <v/>
      </c>
      <c r="AD45" s="131" t="str">
        <f t="shared" si="4"/>
        <v/>
      </c>
      <c r="AE45" s="132" t="str">
        <f t="shared" si="5"/>
        <v/>
      </c>
      <c r="AF45" s="132" t="str">
        <f t="shared" si="6"/>
        <v/>
      </c>
      <c r="AG45" s="132" t="str">
        <f t="shared" si="7"/>
        <v/>
      </c>
      <c r="AH45" s="132" t="str">
        <f t="shared" si="8"/>
        <v/>
      </c>
      <c r="AI45" s="125"/>
      <c r="AJ45" s="125"/>
      <c r="AK45" s="125"/>
      <c r="AL45" s="125"/>
      <c r="AM45" s="125"/>
      <c r="AN45" s="125"/>
      <c r="AO45" s="125"/>
      <c r="AP45" s="137"/>
      <c r="AQ45" s="125"/>
      <c r="AR45" s="125"/>
      <c r="AS45" s="125"/>
      <c r="AT45" s="125"/>
      <c r="AU45" s="135" t="str">
        <f t="shared" si="1"/>
        <v/>
      </c>
      <c r="AV45" s="136">
        <f t="shared" si="2"/>
        <v>0</v>
      </c>
    </row>
    <row r="46" spans="1:48" ht="26.25" customHeight="1">
      <c r="A46" s="5">
        <f>IF(AT_2015[[#This Row],[Data ]]&gt;1,1,0)</f>
        <v>0</v>
      </c>
      <c r="B46" s="6"/>
      <c r="C46" s="7"/>
      <c r="D46" s="8"/>
      <c r="E46" s="9"/>
      <c r="F46" s="193"/>
      <c r="G46" s="9"/>
      <c r="H46" s="10"/>
      <c r="I46" s="10"/>
      <c r="J46" s="9"/>
      <c r="K46" s="9"/>
      <c r="L46" s="9"/>
      <c r="M46" s="11"/>
      <c r="N46" s="9"/>
      <c r="O46" s="12"/>
      <c r="P46" s="13"/>
      <c r="Q46" s="9"/>
      <c r="R46" s="14"/>
      <c r="S46" s="13"/>
      <c r="T46" s="15"/>
      <c r="U46" s="15"/>
      <c r="V46" s="15"/>
      <c r="W46" s="15"/>
      <c r="X46" s="15"/>
      <c r="Y46" s="203">
        <f>SUM(AT_2015[[#This Row],[Mão de obra]:[Outros]])</f>
        <v>0</v>
      </c>
      <c r="Z46" s="18"/>
      <c r="AA46" s="159">
        <f>IF(AT_2015[[#This Row],[Correio]]&gt;0,1,0)</f>
        <v>0</v>
      </c>
      <c r="AB46" s="159" t="str">
        <f>IF(AT_2015[[#This Row],[Correio]]&gt;0,"sim","não")</f>
        <v>não</v>
      </c>
      <c r="AC46" s="130" t="str">
        <f t="shared" si="3"/>
        <v/>
      </c>
      <c r="AD46" s="131" t="str">
        <f t="shared" si="4"/>
        <v/>
      </c>
      <c r="AE46" s="132" t="str">
        <f t="shared" si="5"/>
        <v/>
      </c>
      <c r="AF46" s="132" t="str">
        <f t="shared" si="6"/>
        <v/>
      </c>
      <c r="AG46" s="132" t="str">
        <f t="shared" si="7"/>
        <v/>
      </c>
      <c r="AH46" s="132" t="str">
        <f t="shared" si="8"/>
        <v/>
      </c>
      <c r="AI46" s="125"/>
      <c r="AJ46" s="125"/>
      <c r="AK46" s="125"/>
      <c r="AL46" s="125"/>
      <c r="AM46" s="125"/>
      <c r="AN46" s="125"/>
      <c r="AO46" s="125"/>
      <c r="AP46" s="137"/>
      <c r="AQ46" s="125"/>
      <c r="AR46" s="125"/>
      <c r="AS46" s="125"/>
      <c r="AT46" s="125"/>
      <c r="AU46" s="135" t="str">
        <f t="shared" si="1"/>
        <v/>
      </c>
      <c r="AV46" s="136">
        <f t="shared" si="2"/>
        <v>0</v>
      </c>
    </row>
    <row r="47" spans="1:48" ht="26.25" customHeight="1">
      <c r="A47" s="5">
        <f>IF(AT_2015[[#This Row],[Data ]]&gt;1,1,0)</f>
        <v>0</v>
      </c>
      <c r="B47" s="6"/>
      <c r="C47" s="7"/>
      <c r="D47" s="8"/>
      <c r="E47" s="9"/>
      <c r="F47" s="193"/>
      <c r="G47" s="9"/>
      <c r="H47" s="10"/>
      <c r="I47" s="10"/>
      <c r="J47" s="9"/>
      <c r="K47" s="9"/>
      <c r="L47" s="68"/>
      <c r="M47" s="69"/>
      <c r="N47" s="68"/>
      <c r="O47" s="142"/>
      <c r="P47" s="13"/>
      <c r="Q47" s="9"/>
      <c r="R47" s="14"/>
      <c r="S47" s="13"/>
      <c r="T47" s="15"/>
      <c r="U47" s="15"/>
      <c r="V47" s="15"/>
      <c r="W47" s="15"/>
      <c r="X47" s="15"/>
      <c r="Y47" s="203">
        <f>SUM(AT_2015[[#This Row],[Mão de obra]:[Outros]])</f>
        <v>0</v>
      </c>
      <c r="Z47" s="158"/>
      <c r="AA47" s="159">
        <f>IF(AT_2015[[#This Row],[Correio]]&gt;0,1,0)</f>
        <v>0</v>
      </c>
      <c r="AB47" s="159" t="str">
        <f>IF(AT_2015[[#This Row],[Correio]]&gt;0,"sim","não")</f>
        <v>não</v>
      </c>
      <c r="AC47" s="130" t="str">
        <f t="shared" si="3"/>
        <v/>
      </c>
      <c r="AD47" s="131" t="str">
        <f t="shared" si="4"/>
        <v/>
      </c>
      <c r="AE47" s="132" t="str">
        <f t="shared" si="5"/>
        <v/>
      </c>
      <c r="AF47" s="132" t="str">
        <f t="shared" si="6"/>
        <v/>
      </c>
      <c r="AG47" s="132" t="str">
        <f t="shared" si="7"/>
        <v/>
      </c>
      <c r="AH47" s="132" t="str">
        <f t="shared" si="8"/>
        <v/>
      </c>
      <c r="AI47" s="125"/>
      <c r="AJ47" s="125"/>
      <c r="AK47" s="125"/>
      <c r="AL47" s="125"/>
      <c r="AM47" s="125"/>
      <c r="AN47" s="125"/>
      <c r="AO47" s="125"/>
      <c r="AP47" s="137"/>
      <c r="AQ47" s="125"/>
      <c r="AR47" s="125"/>
      <c r="AS47" s="125"/>
      <c r="AT47" s="125"/>
      <c r="AU47" s="135" t="str">
        <f t="shared" si="1"/>
        <v/>
      </c>
      <c r="AV47" s="136">
        <f t="shared" si="2"/>
        <v>0</v>
      </c>
    </row>
    <row r="48" spans="1:48" ht="26.25" customHeight="1">
      <c r="A48" s="5">
        <f>IF(AT_2015[[#This Row],[Data ]]&gt;1,1,0)</f>
        <v>0</v>
      </c>
      <c r="B48" s="6"/>
      <c r="C48" s="7"/>
      <c r="D48" s="8"/>
      <c r="E48" s="9"/>
      <c r="F48" s="193"/>
      <c r="G48" s="9"/>
      <c r="H48" s="10"/>
      <c r="I48" s="10"/>
      <c r="J48" s="9"/>
      <c r="K48" s="9"/>
      <c r="L48" s="9"/>
      <c r="M48" s="11"/>
      <c r="N48" s="9"/>
      <c r="O48" s="12"/>
      <c r="P48" s="13"/>
      <c r="Q48" s="9"/>
      <c r="R48" s="14"/>
      <c r="S48" s="13"/>
      <c r="T48" s="15"/>
      <c r="U48" s="15"/>
      <c r="V48" s="15"/>
      <c r="W48" s="15"/>
      <c r="X48" s="15"/>
      <c r="Y48" s="203">
        <f>SUM(AT_2015[[#This Row],[Mão de obra]:[Outros]])</f>
        <v>0</v>
      </c>
      <c r="Z48" s="18"/>
      <c r="AA48" s="159">
        <f>IF(AT_2015[[#This Row],[Correio]]&gt;0,1,0)</f>
        <v>0</v>
      </c>
      <c r="AB48" s="159" t="str">
        <f>IF(AT_2015[[#This Row],[Correio]]&gt;0,"sim","não")</f>
        <v>não</v>
      </c>
      <c r="AC48" s="130" t="str">
        <f t="shared" si="3"/>
        <v/>
      </c>
      <c r="AD48" s="131" t="str">
        <f t="shared" si="4"/>
        <v/>
      </c>
      <c r="AE48" s="132" t="str">
        <f t="shared" si="5"/>
        <v/>
      </c>
      <c r="AF48" s="132" t="str">
        <f t="shared" si="6"/>
        <v/>
      </c>
      <c r="AG48" s="132" t="str">
        <f t="shared" si="7"/>
        <v/>
      </c>
      <c r="AH48" s="132" t="str">
        <f t="shared" si="8"/>
        <v/>
      </c>
      <c r="AI48" s="125"/>
      <c r="AJ48" s="125"/>
      <c r="AK48" s="125"/>
      <c r="AL48" s="125"/>
      <c r="AM48" s="125"/>
      <c r="AN48" s="125"/>
      <c r="AO48" s="125"/>
      <c r="AP48" s="137"/>
      <c r="AQ48" s="125"/>
      <c r="AR48" s="125"/>
      <c r="AS48" s="125"/>
      <c r="AT48" s="125"/>
      <c r="AU48" s="135" t="str">
        <f t="shared" si="1"/>
        <v/>
      </c>
      <c r="AV48" s="136">
        <f t="shared" si="2"/>
        <v>0</v>
      </c>
    </row>
    <row r="49" spans="1:48" ht="26.25" customHeight="1">
      <c r="A49" s="5">
        <f>IF(AT_2015[[#This Row],[Data ]]&gt;1,1,0)</f>
        <v>0</v>
      </c>
      <c r="B49" s="6"/>
      <c r="C49" s="7"/>
      <c r="D49" s="8"/>
      <c r="E49" s="9"/>
      <c r="F49" s="194"/>
      <c r="G49" s="9"/>
      <c r="H49" s="10"/>
      <c r="I49" s="10"/>
      <c r="J49" s="9"/>
      <c r="K49" s="9"/>
      <c r="L49" s="68"/>
      <c r="M49" s="69"/>
      <c r="N49" s="68"/>
      <c r="O49" s="12"/>
      <c r="P49" s="13"/>
      <c r="Q49" s="9"/>
      <c r="R49" s="14"/>
      <c r="S49" s="13"/>
      <c r="T49" s="15"/>
      <c r="U49" s="15"/>
      <c r="V49" s="15"/>
      <c r="W49" s="15"/>
      <c r="X49" s="15"/>
      <c r="Y49" s="203">
        <f>SUM(AT_2015[[#This Row],[Mão de obra]:[Outros]])</f>
        <v>0</v>
      </c>
      <c r="Z49" s="157"/>
      <c r="AA49" s="159">
        <f>IF(AT_2015[[#This Row],[Correio]]&gt;0,1,0)</f>
        <v>0</v>
      </c>
      <c r="AB49" s="159" t="str">
        <f>IF(AT_2015[[#This Row],[Correio]]&gt;0,"sim","não")</f>
        <v>não</v>
      </c>
      <c r="AC49" s="130" t="str">
        <f t="shared" si="3"/>
        <v/>
      </c>
      <c r="AD49" s="131" t="str">
        <f t="shared" si="4"/>
        <v/>
      </c>
      <c r="AE49" s="132" t="str">
        <f t="shared" si="5"/>
        <v/>
      </c>
      <c r="AF49" s="132" t="str">
        <f t="shared" si="6"/>
        <v/>
      </c>
      <c r="AG49" s="132" t="str">
        <f t="shared" si="7"/>
        <v/>
      </c>
      <c r="AH49" s="132" t="str">
        <f t="shared" si="8"/>
        <v/>
      </c>
      <c r="AI49" s="125"/>
      <c r="AJ49" s="125"/>
      <c r="AK49" s="125"/>
      <c r="AL49" s="125"/>
      <c r="AM49" s="125"/>
      <c r="AN49" s="125"/>
      <c r="AO49" s="125"/>
      <c r="AP49" s="137"/>
      <c r="AQ49" s="125"/>
      <c r="AR49" s="125"/>
      <c r="AS49" s="125"/>
      <c r="AT49" s="125"/>
      <c r="AU49" s="135" t="str">
        <f t="shared" si="1"/>
        <v/>
      </c>
      <c r="AV49" s="136">
        <f t="shared" si="2"/>
        <v>0</v>
      </c>
    </row>
    <row r="50" spans="1:48" ht="26.25" customHeight="1">
      <c r="A50" s="5">
        <f>IF(AT_2015[[#This Row],[Data ]]&gt;1,1,0)</f>
        <v>0</v>
      </c>
      <c r="B50" s="6"/>
      <c r="C50" s="7"/>
      <c r="D50" s="8"/>
      <c r="E50" s="9"/>
      <c r="F50" s="194"/>
      <c r="G50" s="9"/>
      <c r="H50" s="10"/>
      <c r="I50" s="10"/>
      <c r="J50" s="9"/>
      <c r="K50" s="9"/>
      <c r="L50" s="9"/>
      <c r="M50" s="11"/>
      <c r="N50" s="9"/>
      <c r="O50" s="12"/>
      <c r="P50" s="13"/>
      <c r="Q50" s="9"/>
      <c r="R50" s="14"/>
      <c r="S50" s="13"/>
      <c r="T50" s="15"/>
      <c r="U50" s="15"/>
      <c r="V50" s="15"/>
      <c r="W50" s="15"/>
      <c r="X50" s="15"/>
      <c r="Y50" s="203">
        <f>SUM(AT_2015[[#This Row],[Mão de obra]:[Outros]])</f>
        <v>0</v>
      </c>
      <c r="Z50" s="18"/>
      <c r="AA50" s="159">
        <f>IF(AT_2015[[#This Row],[Correio]]&gt;0,1,0)</f>
        <v>0</v>
      </c>
      <c r="AB50" s="159" t="str">
        <f>IF(AT_2015[[#This Row],[Correio]]&gt;0,"sim","não")</f>
        <v>não</v>
      </c>
      <c r="AC50" s="130" t="str">
        <f t="shared" si="3"/>
        <v/>
      </c>
      <c r="AD50" s="131" t="str">
        <f t="shared" si="4"/>
        <v/>
      </c>
      <c r="AE50" s="132" t="str">
        <f t="shared" si="5"/>
        <v/>
      </c>
      <c r="AF50" s="132" t="str">
        <f t="shared" si="6"/>
        <v/>
      </c>
      <c r="AG50" s="132" t="str">
        <f t="shared" si="7"/>
        <v/>
      </c>
      <c r="AH50" s="132" t="str">
        <f t="shared" si="8"/>
        <v/>
      </c>
      <c r="AI50" s="125"/>
      <c r="AJ50" s="125"/>
      <c r="AK50" s="125"/>
      <c r="AL50" s="125"/>
      <c r="AM50" s="125"/>
      <c r="AN50" s="125"/>
      <c r="AO50" s="125"/>
      <c r="AP50" s="137"/>
      <c r="AQ50" s="125"/>
      <c r="AR50" s="125"/>
      <c r="AS50" s="125"/>
      <c r="AT50" s="125"/>
      <c r="AU50" s="135" t="str">
        <f t="shared" si="1"/>
        <v/>
      </c>
      <c r="AV50" s="136">
        <f t="shared" si="2"/>
        <v>0</v>
      </c>
    </row>
    <row r="51" spans="1:48" ht="26.25" customHeight="1">
      <c r="A51" s="5">
        <f>IF(AT_2015[[#This Row],[Data ]]&gt;1,1,0)</f>
        <v>0</v>
      </c>
      <c r="B51" s="6"/>
      <c r="C51" s="7"/>
      <c r="D51" s="8"/>
      <c r="E51" s="9"/>
      <c r="F51" s="194"/>
      <c r="G51" s="9"/>
      <c r="H51" s="10"/>
      <c r="I51" s="10"/>
      <c r="J51" s="9"/>
      <c r="K51" s="9"/>
      <c r="L51" s="9"/>
      <c r="M51" s="11"/>
      <c r="N51" s="74"/>
      <c r="O51" s="74"/>
      <c r="P51" s="13"/>
      <c r="Q51" s="9"/>
      <c r="R51" s="14"/>
      <c r="S51" s="13"/>
      <c r="T51" s="15"/>
      <c r="U51" s="15"/>
      <c r="V51" s="15"/>
      <c r="W51" s="15"/>
      <c r="X51" s="15"/>
      <c r="Y51" s="203">
        <f>SUM(AT_2015[[#This Row],[Mão de obra]:[Outros]])</f>
        <v>0</v>
      </c>
      <c r="Z51" s="18"/>
      <c r="AA51" s="159">
        <f>IF(AT_2015[[#This Row],[Correio]]&gt;0,1,0)</f>
        <v>0</v>
      </c>
      <c r="AB51" s="159" t="str">
        <f>IF(AT_2015[[#This Row],[Correio]]&gt;0,"sim","não")</f>
        <v>não</v>
      </c>
      <c r="AC51" s="130" t="str">
        <f t="shared" si="3"/>
        <v/>
      </c>
      <c r="AD51" s="131" t="str">
        <f t="shared" si="4"/>
        <v/>
      </c>
      <c r="AE51" s="132" t="str">
        <f t="shared" si="5"/>
        <v/>
      </c>
      <c r="AF51" s="132" t="str">
        <f t="shared" si="6"/>
        <v/>
      </c>
      <c r="AG51" s="132" t="str">
        <f t="shared" si="7"/>
        <v/>
      </c>
      <c r="AH51" s="132" t="str">
        <f t="shared" si="8"/>
        <v/>
      </c>
      <c r="AI51" s="125"/>
      <c r="AJ51" s="125"/>
      <c r="AK51" s="125"/>
      <c r="AL51" s="125"/>
      <c r="AM51" s="125"/>
      <c r="AN51" s="125"/>
      <c r="AO51" s="125"/>
      <c r="AP51" s="137"/>
      <c r="AQ51" s="125"/>
      <c r="AR51" s="125"/>
      <c r="AS51" s="125"/>
      <c r="AT51" s="125"/>
      <c r="AU51" s="135" t="str">
        <f t="shared" si="1"/>
        <v/>
      </c>
      <c r="AV51" s="136">
        <f t="shared" si="2"/>
        <v>0</v>
      </c>
    </row>
    <row r="52" spans="1:48" ht="26.25" customHeight="1">
      <c r="A52" s="5">
        <f>IF(AT_2015[[#This Row],[Data ]]&gt;1,1,0)</f>
        <v>0</v>
      </c>
      <c r="B52" s="6"/>
      <c r="C52" s="7"/>
      <c r="D52" s="8"/>
      <c r="E52" s="9"/>
      <c r="F52" s="193"/>
      <c r="G52" s="9"/>
      <c r="H52" s="10"/>
      <c r="I52" s="10"/>
      <c r="J52" s="9"/>
      <c r="K52" s="9"/>
      <c r="L52" s="9"/>
      <c r="M52" s="11"/>
      <c r="N52" s="9"/>
      <c r="O52" s="12"/>
      <c r="P52" s="13"/>
      <c r="Q52" s="9"/>
      <c r="R52" s="14"/>
      <c r="S52" s="13"/>
      <c r="T52" s="15"/>
      <c r="U52" s="15"/>
      <c r="V52" s="15"/>
      <c r="W52" s="15"/>
      <c r="X52" s="15"/>
      <c r="Y52" s="203">
        <f>SUM(AT_2015[[#This Row],[Mão de obra]:[Outros]])</f>
        <v>0</v>
      </c>
      <c r="Z52" s="18"/>
      <c r="AA52" s="159">
        <f>IF(AT_2015[[#This Row],[Correio]]&gt;0,1,0)</f>
        <v>0</v>
      </c>
      <c r="AB52" s="159" t="str">
        <f>IF(AT_2015[[#This Row],[Correio]]&gt;0,"sim","não")</f>
        <v>não</v>
      </c>
      <c r="AC52" s="130" t="str">
        <f t="shared" si="3"/>
        <v/>
      </c>
      <c r="AD52" s="131" t="str">
        <f t="shared" si="4"/>
        <v/>
      </c>
      <c r="AE52" s="132" t="str">
        <f t="shared" si="5"/>
        <v/>
      </c>
      <c r="AF52" s="132" t="str">
        <f t="shared" si="6"/>
        <v/>
      </c>
      <c r="AG52" s="132" t="str">
        <f t="shared" si="7"/>
        <v/>
      </c>
      <c r="AH52" s="132" t="str">
        <f t="shared" si="8"/>
        <v/>
      </c>
      <c r="AI52" s="125"/>
      <c r="AJ52" s="125"/>
      <c r="AK52" s="125"/>
      <c r="AL52" s="125"/>
      <c r="AM52" s="125"/>
      <c r="AN52" s="125"/>
      <c r="AO52" s="125"/>
      <c r="AP52" s="137"/>
      <c r="AQ52" s="125"/>
      <c r="AR52" s="125"/>
      <c r="AS52" s="125"/>
      <c r="AT52" s="125"/>
      <c r="AU52" s="135" t="str">
        <f t="shared" si="1"/>
        <v/>
      </c>
      <c r="AV52" s="136">
        <f t="shared" si="2"/>
        <v>0</v>
      </c>
    </row>
    <row r="53" spans="1:48" ht="26.25" customHeight="1">
      <c r="A53" s="5">
        <f>IF(AT_2015[[#This Row],[Data ]]&gt;1,1,0)</f>
        <v>0</v>
      </c>
      <c r="B53" s="6"/>
      <c r="C53" s="7"/>
      <c r="D53" s="8"/>
      <c r="E53" s="9"/>
      <c r="F53" s="193"/>
      <c r="G53" s="9"/>
      <c r="H53" s="10"/>
      <c r="I53" s="10"/>
      <c r="J53" s="9"/>
      <c r="K53" s="9"/>
      <c r="L53" s="9"/>
      <c r="M53" s="11"/>
      <c r="N53" s="9"/>
      <c r="O53" s="12"/>
      <c r="P53" s="13"/>
      <c r="Q53" s="9"/>
      <c r="R53" s="14"/>
      <c r="S53" s="13"/>
      <c r="T53" s="15"/>
      <c r="U53" s="15"/>
      <c r="V53" s="15"/>
      <c r="W53" s="15"/>
      <c r="X53" s="15"/>
      <c r="Y53" s="203">
        <f>SUM(AT_2015[[#This Row],[Mão de obra]:[Outros]])</f>
        <v>0</v>
      </c>
      <c r="Z53" s="18"/>
      <c r="AA53" s="159">
        <f>IF(AT_2015[[#This Row],[Correio]]&gt;0,1,0)</f>
        <v>0</v>
      </c>
      <c r="AB53" s="159" t="str">
        <f>IF(AT_2015[[#This Row],[Correio]]&gt;0,"sim","não")</f>
        <v>não</v>
      </c>
      <c r="AC53" s="130" t="str">
        <f t="shared" si="3"/>
        <v/>
      </c>
      <c r="AD53" s="131" t="str">
        <f t="shared" si="4"/>
        <v/>
      </c>
      <c r="AE53" s="132" t="str">
        <f t="shared" si="5"/>
        <v/>
      </c>
      <c r="AF53" s="132" t="str">
        <f t="shared" si="6"/>
        <v/>
      </c>
      <c r="AG53" s="132" t="str">
        <f t="shared" si="7"/>
        <v/>
      </c>
      <c r="AH53" s="132" t="str">
        <f t="shared" si="8"/>
        <v/>
      </c>
      <c r="AI53" s="125"/>
      <c r="AJ53" s="125"/>
      <c r="AK53" s="125"/>
      <c r="AL53" s="125"/>
      <c r="AM53" s="125"/>
      <c r="AN53" s="125"/>
      <c r="AO53" s="125"/>
      <c r="AP53" s="137"/>
      <c r="AQ53" s="125"/>
      <c r="AR53" s="125"/>
      <c r="AS53" s="125"/>
      <c r="AT53" s="125"/>
      <c r="AU53" s="135" t="str">
        <f t="shared" si="1"/>
        <v/>
      </c>
      <c r="AV53" s="136">
        <f t="shared" si="2"/>
        <v>0</v>
      </c>
    </row>
    <row r="54" spans="1:48" ht="26.25" customHeight="1">
      <c r="A54" s="5">
        <f>IF(AT_2015[[#This Row],[Data ]]&gt;1,1,0)</f>
        <v>0</v>
      </c>
      <c r="B54" s="6"/>
      <c r="C54" s="7"/>
      <c r="D54" s="8"/>
      <c r="E54" s="9"/>
      <c r="F54" s="193"/>
      <c r="G54" s="9"/>
      <c r="H54" s="10"/>
      <c r="I54" s="10"/>
      <c r="J54" s="9"/>
      <c r="K54" s="9"/>
      <c r="L54" s="9"/>
      <c r="M54" s="11"/>
      <c r="N54" s="9"/>
      <c r="O54" s="12"/>
      <c r="P54" s="13"/>
      <c r="Q54" s="9"/>
      <c r="R54" s="14"/>
      <c r="S54" s="13"/>
      <c r="T54" s="15"/>
      <c r="U54" s="15"/>
      <c r="V54" s="15"/>
      <c r="W54" s="15"/>
      <c r="X54" s="15"/>
      <c r="Y54" s="203">
        <f>SUM(AT_2015[[#This Row],[Mão de obra]:[Outros]])</f>
        <v>0</v>
      </c>
      <c r="Z54" s="18"/>
      <c r="AA54" s="159">
        <f>IF(AT_2015[[#This Row],[Correio]]&gt;0,1,0)</f>
        <v>0</v>
      </c>
      <c r="AB54" s="159" t="str">
        <f>IF(AT_2015[[#This Row],[Correio]]&gt;0,"sim","não")</f>
        <v>não</v>
      </c>
      <c r="AC54" s="130" t="str">
        <f t="shared" si="3"/>
        <v/>
      </c>
      <c r="AD54" s="131" t="str">
        <f t="shared" si="4"/>
        <v/>
      </c>
      <c r="AE54" s="132" t="str">
        <f t="shared" si="5"/>
        <v/>
      </c>
      <c r="AF54" s="132" t="str">
        <f t="shared" si="6"/>
        <v/>
      </c>
      <c r="AG54" s="132" t="str">
        <f t="shared" si="7"/>
        <v/>
      </c>
      <c r="AH54" s="132" t="str">
        <f t="shared" si="8"/>
        <v/>
      </c>
      <c r="AI54" s="125"/>
      <c r="AJ54" s="125"/>
      <c r="AK54" s="125"/>
      <c r="AL54" s="125"/>
      <c r="AM54" s="125"/>
      <c r="AN54" s="125"/>
      <c r="AO54" s="125"/>
      <c r="AP54" s="137"/>
      <c r="AQ54" s="125"/>
      <c r="AR54" s="125"/>
      <c r="AS54" s="125"/>
      <c r="AT54" s="125"/>
      <c r="AU54" s="135" t="str">
        <f t="shared" si="1"/>
        <v/>
      </c>
      <c r="AV54" s="136">
        <f t="shared" si="2"/>
        <v>0</v>
      </c>
    </row>
    <row r="55" spans="1:48" ht="26.25" customHeight="1">
      <c r="A55" s="5">
        <f>IF(AT_2015[[#This Row],[Data ]]&gt;1,1,0)</f>
        <v>0</v>
      </c>
      <c r="B55" s="6"/>
      <c r="C55" s="7"/>
      <c r="D55" s="8"/>
      <c r="E55" s="9"/>
      <c r="F55" s="193"/>
      <c r="G55" s="9"/>
      <c r="H55" s="10"/>
      <c r="I55" s="10"/>
      <c r="J55" s="9"/>
      <c r="K55" s="9"/>
      <c r="L55" s="9"/>
      <c r="M55" s="11"/>
      <c r="N55" s="9"/>
      <c r="O55" s="12"/>
      <c r="P55" s="13"/>
      <c r="Q55" s="9"/>
      <c r="R55" s="14"/>
      <c r="S55" s="13"/>
      <c r="T55" s="15"/>
      <c r="U55" s="15"/>
      <c r="V55" s="15"/>
      <c r="W55" s="15"/>
      <c r="X55" s="15"/>
      <c r="Y55" s="203">
        <f>SUM(AT_2015[[#This Row],[Mão de obra]:[Outros]])</f>
        <v>0</v>
      </c>
      <c r="Z55" s="18"/>
      <c r="AA55" s="159">
        <f>IF(AT_2015[[#This Row],[Correio]]&gt;0,1,0)</f>
        <v>0</v>
      </c>
      <c r="AB55" s="159" t="str">
        <f>IF(AT_2015[[#This Row],[Correio]]&gt;0,"sim","não")</f>
        <v>não</v>
      </c>
      <c r="AC55" s="130" t="str">
        <f t="shared" si="3"/>
        <v/>
      </c>
      <c r="AD55" s="131" t="str">
        <f t="shared" si="4"/>
        <v/>
      </c>
      <c r="AE55" s="132" t="str">
        <f t="shared" si="5"/>
        <v/>
      </c>
      <c r="AF55" s="132" t="str">
        <f t="shared" si="6"/>
        <v/>
      </c>
      <c r="AG55" s="132" t="str">
        <f t="shared" si="7"/>
        <v/>
      </c>
      <c r="AH55" s="132" t="str">
        <f t="shared" si="8"/>
        <v/>
      </c>
      <c r="AI55" s="125"/>
      <c r="AJ55" s="125"/>
      <c r="AK55" s="125"/>
      <c r="AL55" s="125"/>
      <c r="AM55" s="125"/>
      <c r="AN55" s="125"/>
      <c r="AO55" s="125"/>
      <c r="AP55" s="137"/>
      <c r="AQ55" s="125"/>
      <c r="AR55" s="125"/>
      <c r="AS55" s="125"/>
      <c r="AT55" s="125"/>
      <c r="AU55" s="135" t="str">
        <f t="shared" si="1"/>
        <v/>
      </c>
      <c r="AV55" s="136">
        <f t="shared" si="2"/>
        <v>0</v>
      </c>
    </row>
    <row r="56" spans="1:48" ht="26.25" customHeight="1">
      <c r="A56" s="5">
        <f>IF(AT_2015[[#This Row],[Data ]]&gt;1,1,0)</f>
        <v>0</v>
      </c>
      <c r="B56" s="6"/>
      <c r="C56" s="7"/>
      <c r="D56" s="8"/>
      <c r="E56" s="9"/>
      <c r="F56" s="193"/>
      <c r="G56" s="9"/>
      <c r="H56" s="10"/>
      <c r="I56" s="10"/>
      <c r="J56" s="9"/>
      <c r="K56" s="9"/>
      <c r="L56" s="9"/>
      <c r="M56" s="11"/>
      <c r="N56" s="9"/>
      <c r="O56" s="12"/>
      <c r="P56" s="13"/>
      <c r="Q56" s="9"/>
      <c r="R56" s="14"/>
      <c r="S56" s="13"/>
      <c r="T56" s="15"/>
      <c r="U56" s="15"/>
      <c r="V56" s="15"/>
      <c r="W56" s="15"/>
      <c r="X56" s="15"/>
      <c r="Y56" s="203">
        <f>SUM(AT_2015[[#This Row],[Mão de obra]:[Outros]])</f>
        <v>0</v>
      </c>
      <c r="Z56" s="18"/>
      <c r="AA56" s="159">
        <f>IF(AT_2015[[#This Row],[Correio]]&gt;0,1,0)</f>
        <v>0</v>
      </c>
      <c r="AB56" s="159" t="str">
        <f>IF(AT_2015[[#This Row],[Correio]]&gt;0,"sim","não")</f>
        <v>não</v>
      </c>
      <c r="AC56" s="130" t="str">
        <f t="shared" si="3"/>
        <v/>
      </c>
      <c r="AD56" s="131" t="str">
        <f t="shared" si="4"/>
        <v/>
      </c>
      <c r="AE56" s="132" t="str">
        <f t="shared" si="5"/>
        <v/>
      </c>
      <c r="AF56" s="132" t="str">
        <f t="shared" si="6"/>
        <v/>
      </c>
      <c r="AG56" s="132" t="str">
        <f t="shared" si="7"/>
        <v/>
      </c>
      <c r="AH56" s="132" t="str">
        <f t="shared" si="8"/>
        <v/>
      </c>
      <c r="AI56" s="125"/>
      <c r="AJ56" s="125"/>
      <c r="AK56" s="125"/>
      <c r="AL56" s="125"/>
      <c r="AM56" s="125"/>
      <c r="AN56" s="125"/>
      <c r="AO56" s="125"/>
      <c r="AP56" s="137"/>
      <c r="AQ56" s="125"/>
      <c r="AR56" s="125"/>
      <c r="AS56" s="125"/>
      <c r="AT56" s="125"/>
      <c r="AU56" s="135" t="str">
        <f t="shared" si="1"/>
        <v/>
      </c>
      <c r="AV56" s="136">
        <f t="shared" si="2"/>
        <v>0</v>
      </c>
    </row>
    <row r="57" spans="1:48" ht="26.25" customHeight="1">
      <c r="A57" s="5">
        <f>IF(AT_2015[[#This Row],[Data ]]&gt;1,1,0)</f>
        <v>0</v>
      </c>
      <c r="B57" s="6"/>
      <c r="C57" s="7"/>
      <c r="D57" s="8"/>
      <c r="E57" s="9"/>
      <c r="F57" s="193"/>
      <c r="G57" s="9"/>
      <c r="H57" s="10"/>
      <c r="I57" s="10"/>
      <c r="J57" s="9"/>
      <c r="K57" s="9"/>
      <c r="L57" s="9"/>
      <c r="M57" s="11"/>
      <c r="N57" s="9"/>
      <c r="O57" s="12"/>
      <c r="P57" s="13"/>
      <c r="Q57" s="9"/>
      <c r="R57" s="14"/>
      <c r="S57" s="13"/>
      <c r="T57" s="15"/>
      <c r="U57" s="15"/>
      <c r="V57" s="15"/>
      <c r="W57" s="15"/>
      <c r="X57" s="15"/>
      <c r="Y57" s="203">
        <f>SUM(AT_2015[[#This Row],[Mão de obra]:[Outros]])</f>
        <v>0</v>
      </c>
      <c r="Z57" s="18"/>
      <c r="AA57" s="159">
        <f>IF(AT_2015[[#This Row],[Correio]]&gt;0,1,0)</f>
        <v>0</v>
      </c>
      <c r="AB57" s="159" t="str">
        <f>IF(AT_2015[[#This Row],[Correio]]&gt;0,"sim","não")</f>
        <v>não</v>
      </c>
      <c r="AC57" s="130" t="str">
        <f t="shared" si="3"/>
        <v/>
      </c>
      <c r="AD57" s="131" t="str">
        <f t="shared" si="4"/>
        <v/>
      </c>
      <c r="AE57" s="132" t="str">
        <f t="shared" si="5"/>
        <v/>
      </c>
      <c r="AF57" s="132" t="str">
        <f t="shared" si="6"/>
        <v/>
      </c>
      <c r="AG57" s="132" t="str">
        <f t="shared" si="7"/>
        <v/>
      </c>
      <c r="AH57" s="132" t="str">
        <f t="shared" si="8"/>
        <v/>
      </c>
      <c r="AI57" s="125"/>
      <c r="AJ57" s="125"/>
      <c r="AK57" s="125"/>
      <c r="AL57" s="125"/>
      <c r="AM57" s="125"/>
      <c r="AN57" s="125"/>
      <c r="AO57" s="125"/>
      <c r="AP57" s="137"/>
      <c r="AQ57" s="125"/>
      <c r="AR57" s="125"/>
      <c r="AS57" s="125"/>
      <c r="AT57" s="125"/>
      <c r="AU57" s="135" t="str">
        <f t="shared" si="1"/>
        <v/>
      </c>
      <c r="AV57" s="136">
        <f t="shared" si="2"/>
        <v>0</v>
      </c>
    </row>
    <row r="58" spans="1:48" ht="26.25" customHeight="1">
      <c r="A58" s="5">
        <f>IF(AT_2015[[#This Row],[Data ]]&gt;1,1,0)</f>
        <v>0</v>
      </c>
      <c r="B58" s="6"/>
      <c r="C58" s="7"/>
      <c r="D58" s="8"/>
      <c r="E58" s="9"/>
      <c r="F58" s="193"/>
      <c r="G58" s="9"/>
      <c r="H58" s="10"/>
      <c r="I58" s="10"/>
      <c r="J58" s="9"/>
      <c r="K58" s="9"/>
      <c r="L58" s="9"/>
      <c r="M58" s="11"/>
      <c r="N58" s="9"/>
      <c r="O58" s="12"/>
      <c r="P58" s="13"/>
      <c r="Q58" s="9"/>
      <c r="R58" s="14"/>
      <c r="S58" s="13"/>
      <c r="T58" s="15"/>
      <c r="U58" s="15"/>
      <c r="V58" s="15"/>
      <c r="W58" s="15"/>
      <c r="X58" s="15"/>
      <c r="Y58" s="203">
        <f>SUM(AT_2015[[#This Row],[Mão de obra]:[Outros]])</f>
        <v>0</v>
      </c>
      <c r="Z58" s="158"/>
      <c r="AA58" s="159">
        <f>IF(AT_2015[[#This Row],[Correio]]&gt;0,1,0)</f>
        <v>0</v>
      </c>
      <c r="AB58" s="159" t="str">
        <f>IF(AT_2015[[#This Row],[Correio]]&gt;0,"sim","não")</f>
        <v>não</v>
      </c>
      <c r="AC58" s="130" t="str">
        <f t="shared" si="3"/>
        <v/>
      </c>
      <c r="AD58" s="131" t="str">
        <f t="shared" si="4"/>
        <v/>
      </c>
      <c r="AE58" s="132" t="str">
        <f t="shared" si="5"/>
        <v/>
      </c>
      <c r="AF58" s="132" t="str">
        <f t="shared" si="6"/>
        <v/>
      </c>
      <c r="AG58" s="132" t="str">
        <f t="shared" si="7"/>
        <v/>
      </c>
      <c r="AH58" s="132" t="str">
        <f t="shared" si="8"/>
        <v/>
      </c>
      <c r="AI58" s="125"/>
      <c r="AJ58" s="125"/>
      <c r="AK58" s="125"/>
      <c r="AL58" s="125"/>
      <c r="AM58" s="125"/>
      <c r="AN58" s="125"/>
      <c r="AO58" s="125"/>
      <c r="AP58" s="137"/>
      <c r="AQ58" s="125"/>
      <c r="AR58" s="125"/>
      <c r="AS58" s="125"/>
      <c r="AT58" s="125"/>
      <c r="AU58" s="135" t="str">
        <f t="shared" si="1"/>
        <v/>
      </c>
      <c r="AV58" s="136">
        <f t="shared" si="2"/>
        <v>0</v>
      </c>
    </row>
    <row r="59" spans="1:48" ht="26.25" customHeight="1">
      <c r="A59" s="5">
        <f>IF(AT_2015[[#This Row],[Data ]]&gt;1,1,0)</f>
        <v>0</v>
      </c>
      <c r="B59" s="6"/>
      <c r="C59" s="7"/>
      <c r="D59" s="8"/>
      <c r="E59" s="9"/>
      <c r="F59" s="193"/>
      <c r="G59" s="9"/>
      <c r="H59" s="10"/>
      <c r="I59" s="10"/>
      <c r="J59" s="9"/>
      <c r="K59" s="9"/>
      <c r="L59" s="9"/>
      <c r="M59" s="11"/>
      <c r="N59" s="9"/>
      <c r="O59" s="12"/>
      <c r="P59" s="13"/>
      <c r="Q59" s="9"/>
      <c r="R59" s="14"/>
      <c r="S59" s="150"/>
      <c r="T59" s="15"/>
      <c r="U59" s="15"/>
      <c r="V59" s="15"/>
      <c r="W59" s="15"/>
      <c r="X59" s="15"/>
      <c r="Y59" s="203">
        <f>SUM(AT_2015[[#This Row],[Mão de obra]:[Outros]])</f>
        <v>0</v>
      </c>
      <c r="Z59" s="18"/>
      <c r="AA59" s="159">
        <f>IF(AT_2015[[#This Row],[Correio]]&gt;0,1,0)</f>
        <v>0</v>
      </c>
      <c r="AB59" s="159" t="str">
        <f>IF(AT_2015[[#This Row],[Correio]]&gt;0,"sim","não")</f>
        <v>não</v>
      </c>
      <c r="AC59" s="130" t="str">
        <f t="shared" si="3"/>
        <v/>
      </c>
      <c r="AD59" s="131" t="str">
        <f t="shared" si="4"/>
        <v/>
      </c>
      <c r="AE59" s="132" t="str">
        <f t="shared" si="5"/>
        <v/>
      </c>
      <c r="AF59" s="132" t="str">
        <f t="shared" si="6"/>
        <v/>
      </c>
      <c r="AG59" s="132" t="str">
        <f t="shared" si="7"/>
        <v/>
      </c>
      <c r="AH59" s="132" t="str">
        <f t="shared" si="8"/>
        <v/>
      </c>
      <c r="AI59" s="125"/>
      <c r="AJ59" s="125"/>
      <c r="AK59" s="125"/>
      <c r="AL59" s="125"/>
      <c r="AM59" s="125"/>
      <c r="AN59" s="125"/>
      <c r="AO59" s="125"/>
      <c r="AP59" s="137"/>
      <c r="AQ59" s="125"/>
      <c r="AR59" s="125"/>
      <c r="AS59" s="125"/>
      <c r="AT59" s="125"/>
      <c r="AU59" s="135" t="str">
        <f t="shared" si="1"/>
        <v/>
      </c>
      <c r="AV59" s="136">
        <f t="shared" si="2"/>
        <v>0</v>
      </c>
    </row>
    <row r="60" spans="1:48" ht="26.25" customHeight="1">
      <c r="A60" s="5">
        <f>IF(AT_2015[[#This Row],[Data ]]&gt;1,1,0)</f>
        <v>0</v>
      </c>
      <c r="B60" s="6"/>
      <c r="C60" s="7"/>
      <c r="D60" s="8"/>
      <c r="E60" s="9"/>
      <c r="F60" s="193"/>
      <c r="G60" s="9"/>
      <c r="H60" s="10"/>
      <c r="I60" s="10"/>
      <c r="J60" s="9"/>
      <c r="K60" s="9"/>
      <c r="L60" s="9"/>
      <c r="M60" s="11"/>
      <c r="N60" s="9"/>
      <c r="O60" s="12"/>
      <c r="P60" s="13"/>
      <c r="Q60" s="9"/>
      <c r="R60" s="14"/>
      <c r="S60" s="13"/>
      <c r="T60" s="15"/>
      <c r="U60" s="15"/>
      <c r="V60" s="15"/>
      <c r="W60" s="15"/>
      <c r="X60" s="15"/>
      <c r="Y60" s="203">
        <f>SUM(AT_2015[[#This Row],[Mão de obra]:[Outros]])</f>
        <v>0</v>
      </c>
      <c r="Z60" s="18"/>
      <c r="AA60" s="159">
        <f>IF(AT_2015[[#This Row],[Correio]]&gt;0,1,0)</f>
        <v>0</v>
      </c>
      <c r="AB60" s="159" t="str">
        <f>IF(AT_2015[[#This Row],[Correio]]&gt;0,"sim","não")</f>
        <v>não</v>
      </c>
      <c r="AC60" s="130" t="str">
        <f t="shared" si="3"/>
        <v/>
      </c>
      <c r="AD60" s="131" t="str">
        <f t="shared" si="4"/>
        <v/>
      </c>
      <c r="AE60" s="132" t="str">
        <f t="shared" si="5"/>
        <v/>
      </c>
      <c r="AF60" s="132" t="str">
        <f t="shared" si="6"/>
        <v/>
      </c>
      <c r="AG60" s="132" t="str">
        <f t="shared" si="7"/>
        <v/>
      </c>
      <c r="AH60" s="132" t="str">
        <f t="shared" si="8"/>
        <v/>
      </c>
      <c r="AI60" s="125"/>
      <c r="AJ60" s="125"/>
      <c r="AK60" s="125"/>
      <c r="AL60" s="125"/>
      <c r="AM60" s="125"/>
      <c r="AN60" s="125"/>
      <c r="AO60" s="125"/>
      <c r="AP60" s="137"/>
      <c r="AQ60" s="125"/>
      <c r="AR60" s="125"/>
      <c r="AS60" s="125"/>
      <c r="AT60" s="125"/>
      <c r="AU60" s="135" t="str">
        <f t="shared" si="1"/>
        <v/>
      </c>
      <c r="AV60" s="136">
        <f t="shared" si="2"/>
        <v>0</v>
      </c>
    </row>
    <row r="61" spans="1:48" ht="26.25" customHeight="1">
      <c r="A61" s="5">
        <f>IF(AT_2015[[#This Row],[Data ]]&gt;1,1,0)</f>
        <v>0</v>
      </c>
      <c r="B61" s="6"/>
      <c r="C61" s="7"/>
      <c r="D61" s="8"/>
      <c r="E61" s="9"/>
      <c r="F61" s="193"/>
      <c r="G61" s="9"/>
      <c r="H61" s="10"/>
      <c r="I61" s="10"/>
      <c r="J61" s="9"/>
      <c r="K61" s="9"/>
      <c r="L61" s="9"/>
      <c r="M61" s="11"/>
      <c r="N61" s="9"/>
      <c r="O61" s="12"/>
      <c r="P61" s="13"/>
      <c r="Q61" s="12"/>
      <c r="R61" s="14"/>
      <c r="S61" s="13"/>
      <c r="T61" s="15"/>
      <c r="U61" s="15"/>
      <c r="V61" s="15"/>
      <c r="W61" s="15"/>
      <c r="X61" s="15"/>
      <c r="Y61" s="203">
        <f>SUM(AT_2015[[#This Row],[Mão de obra]:[Outros]])</f>
        <v>0</v>
      </c>
      <c r="Z61" s="18"/>
      <c r="AA61" s="159">
        <f>IF(AT_2015[[#This Row],[Correio]]&gt;0,1,0)</f>
        <v>0</v>
      </c>
      <c r="AB61" s="159" t="str">
        <f>IF(AT_2015[[#This Row],[Correio]]&gt;0,"sim","não")</f>
        <v>não</v>
      </c>
      <c r="AC61" s="130" t="str">
        <f t="shared" si="3"/>
        <v/>
      </c>
      <c r="AD61" s="131" t="str">
        <f t="shared" si="4"/>
        <v/>
      </c>
      <c r="AE61" s="132" t="str">
        <f t="shared" si="5"/>
        <v/>
      </c>
      <c r="AF61" s="132" t="str">
        <f t="shared" si="6"/>
        <v/>
      </c>
      <c r="AG61" s="132" t="str">
        <f t="shared" si="7"/>
        <v/>
      </c>
      <c r="AH61" s="132" t="str">
        <f t="shared" si="8"/>
        <v/>
      </c>
      <c r="AI61" s="125"/>
      <c r="AJ61" s="125"/>
      <c r="AK61" s="125"/>
      <c r="AL61" s="125"/>
      <c r="AM61" s="125"/>
      <c r="AN61" s="125"/>
      <c r="AO61" s="125"/>
      <c r="AP61" s="137"/>
      <c r="AQ61" s="125"/>
      <c r="AR61" s="125"/>
      <c r="AS61" s="125"/>
      <c r="AT61" s="125"/>
      <c r="AU61" s="135" t="str">
        <f t="shared" si="1"/>
        <v/>
      </c>
      <c r="AV61" s="136">
        <f t="shared" si="2"/>
        <v>0</v>
      </c>
    </row>
    <row r="62" spans="1:48" ht="26.25" customHeight="1">
      <c r="A62" s="5">
        <f>IF(AT_2015[[#This Row],[Data ]]&gt;1,1,0)</f>
        <v>0</v>
      </c>
      <c r="B62" s="6"/>
      <c r="C62" s="7"/>
      <c r="D62" s="8"/>
      <c r="E62" s="9"/>
      <c r="F62" s="193"/>
      <c r="G62" s="9"/>
      <c r="H62" s="10"/>
      <c r="I62" s="10"/>
      <c r="J62" s="9"/>
      <c r="K62" s="9"/>
      <c r="L62" s="9"/>
      <c r="M62" s="11"/>
      <c r="N62" s="9"/>
      <c r="O62" s="12"/>
      <c r="P62" s="13"/>
      <c r="Q62" s="9"/>
      <c r="R62" s="14"/>
      <c r="S62" s="150"/>
      <c r="T62" s="15"/>
      <c r="U62" s="15"/>
      <c r="V62" s="15"/>
      <c r="W62" s="15"/>
      <c r="X62" s="15"/>
      <c r="Y62" s="203">
        <f>SUM(AT_2015[[#This Row],[Mão de obra]:[Outros]])</f>
        <v>0</v>
      </c>
      <c r="Z62" s="157"/>
      <c r="AA62" s="159">
        <f>IF(AT_2015[[#This Row],[Correio]]&gt;0,1,0)</f>
        <v>0</v>
      </c>
      <c r="AB62" s="159" t="str">
        <f>IF(AT_2015[[#This Row],[Correio]]&gt;0,"sim","não")</f>
        <v>não</v>
      </c>
      <c r="AC62" s="130" t="str">
        <f t="shared" si="3"/>
        <v/>
      </c>
      <c r="AD62" s="131" t="str">
        <f t="shared" si="4"/>
        <v/>
      </c>
      <c r="AE62" s="132" t="str">
        <f t="shared" si="5"/>
        <v/>
      </c>
      <c r="AF62" s="132" t="str">
        <f t="shared" si="6"/>
        <v/>
      </c>
      <c r="AG62" s="132" t="str">
        <f t="shared" si="7"/>
        <v/>
      </c>
      <c r="AH62" s="132" t="str">
        <f t="shared" si="8"/>
        <v/>
      </c>
      <c r="AI62" s="125"/>
      <c r="AJ62" s="125"/>
      <c r="AK62" s="125"/>
      <c r="AL62" s="125"/>
      <c r="AM62" s="125"/>
      <c r="AN62" s="125"/>
      <c r="AO62" s="125"/>
      <c r="AP62" s="137"/>
      <c r="AQ62" s="125"/>
      <c r="AR62" s="125"/>
      <c r="AS62" s="125"/>
      <c r="AT62" s="125"/>
      <c r="AU62" s="135" t="str">
        <f t="shared" si="1"/>
        <v/>
      </c>
      <c r="AV62" s="136">
        <f t="shared" si="2"/>
        <v>0</v>
      </c>
    </row>
    <row r="63" spans="1:48" ht="26.25" customHeight="1">
      <c r="A63" s="5">
        <f>IF(AT_2015[[#This Row],[Data ]]&gt;1,1,0)</f>
        <v>0</v>
      </c>
      <c r="B63" s="6"/>
      <c r="C63" s="7"/>
      <c r="D63" s="8"/>
      <c r="E63" s="9"/>
      <c r="F63" s="193"/>
      <c r="G63" s="9"/>
      <c r="H63" s="10"/>
      <c r="I63" s="10"/>
      <c r="J63" s="9"/>
      <c r="K63" s="9"/>
      <c r="L63" s="9"/>
      <c r="M63" s="11"/>
      <c r="N63" s="9"/>
      <c r="O63" s="12"/>
      <c r="P63" s="13"/>
      <c r="Q63" s="9"/>
      <c r="R63" s="14"/>
      <c r="S63" s="150"/>
      <c r="T63" s="15"/>
      <c r="U63" s="15"/>
      <c r="V63" s="15"/>
      <c r="W63" s="15"/>
      <c r="X63" s="15"/>
      <c r="Y63" s="203">
        <f>SUM(AT_2015[[#This Row],[Mão de obra]:[Outros]])</f>
        <v>0</v>
      </c>
      <c r="Z63" s="19"/>
      <c r="AA63" s="159">
        <f>IF(AT_2015[[#This Row],[Correio]]&gt;0,1,0)</f>
        <v>0</v>
      </c>
      <c r="AB63" s="159" t="str">
        <f>IF(AT_2015[[#This Row],[Correio]]&gt;0,"sim","não")</f>
        <v>não</v>
      </c>
      <c r="AC63" s="130" t="str">
        <f t="shared" si="3"/>
        <v/>
      </c>
      <c r="AD63" s="131" t="str">
        <f t="shared" si="4"/>
        <v/>
      </c>
      <c r="AE63" s="132" t="str">
        <f t="shared" si="5"/>
        <v/>
      </c>
      <c r="AF63" s="132" t="str">
        <f t="shared" si="6"/>
        <v/>
      </c>
      <c r="AG63" s="132" t="str">
        <f t="shared" si="7"/>
        <v/>
      </c>
      <c r="AH63" s="132" t="str">
        <f t="shared" si="8"/>
        <v/>
      </c>
      <c r="AI63" s="125"/>
      <c r="AJ63" s="125"/>
      <c r="AK63" s="125"/>
      <c r="AL63" s="125"/>
      <c r="AM63" s="125"/>
      <c r="AN63" s="125"/>
      <c r="AO63" s="125"/>
      <c r="AP63" s="137"/>
      <c r="AQ63" s="125"/>
      <c r="AR63" s="125"/>
      <c r="AS63" s="125"/>
      <c r="AT63" s="125"/>
      <c r="AU63" s="135" t="str">
        <f t="shared" si="1"/>
        <v/>
      </c>
      <c r="AV63" s="136">
        <f t="shared" si="2"/>
        <v>0</v>
      </c>
    </row>
    <row r="64" spans="1:48" ht="26.25" customHeight="1">
      <c r="A64" s="5">
        <f>IF(AT_2015[[#This Row],[Data ]]&gt;1,1,0)</f>
        <v>0</v>
      </c>
      <c r="B64" s="6"/>
      <c r="C64" s="7"/>
      <c r="D64" s="8"/>
      <c r="E64" s="9"/>
      <c r="F64" s="194"/>
      <c r="G64" s="9"/>
      <c r="H64" s="10"/>
      <c r="I64" s="10"/>
      <c r="J64" s="9"/>
      <c r="K64" s="9"/>
      <c r="L64" s="9"/>
      <c r="M64" s="11"/>
      <c r="N64" s="9"/>
      <c r="O64" s="12"/>
      <c r="P64" s="13"/>
      <c r="Q64" s="9"/>
      <c r="R64" s="14"/>
      <c r="S64" s="13"/>
      <c r="T64" s="15"/>
      <c r="U64" s="15"/>
      <c r="V64" s="15"/>
      <c r="W64" s="15"/>
      <c r="X64" s="15"/>
      <c r="Y64" s="203">
        <f>SUM(AT_2015[[#This Row],[Mão de obra]:[Outros]])</f>
        <v>0</v>
      </c>
      <c r="Z64" s="19"/>
      <c r="AA64" s="159">
        <f>IF(AT_2015[[#This Row],[Correio]]&gt;0,1,0)</f>
        <v>0</v>
      </c>
      <c r="AB64" s="159" t="str">
        <f>IF(AT_2015[[#This Row],[Correio]]&gt;0,"sim","não")</f>
        <v>não</v>
      </c>
      <c r="AC64" s="130" t="str">
        <f t="shared" si="3"/>
        <v/>
      </c>
      <c r="AD64" s="131" t="str">
        <f t="shared" si="4"/>
        <v/>
      </c>
      <c r="AE64" s="132" t="str">
        <f t="shared" si="5"/>
        <v/>
      </c>
      <c r="AF64" s="132" t="str">
        <f t="shared" si="6"/>
        <v/>
      </c>
      <c r="AG64" s="132" t="str">
        <f t="shared" si="7"/>
        <v/>
      </c>
      <c r="AH64" s="132" t="str">
        <f t="shared" si="8"/>
        <v/>
      </c>
      <c r="AI64" s="125"/>
      <c r="AJ64" s="125"/>
      <c r="AK64" s="125"/>
      <c r="AL64" s="125"/>
      <c r="AM64" s="125"/>
      <c r="AN64" s="125"/>
      <c r="AO64" s="125"/>
      <c r="AP64" s="137"/>
      <c r="AQ64" s="125"/>
      <c r="AR64" s="125"/>
      <c r="AS64" s="125"/>
      <c r="AT64" s="125"/>
      <c r="AU64" s="135" t="str">
        <f t="shared" si="1"/>
        <v/>
      </c>
      <c r="AV64" s="136">
        <f t="shared" si="2"/>
        <v>0</v>
      </c>
    </row>
    <row r="65" spans="1:48" ht="26.25" customHeight="1">
      <c r="A65" s="5">
        <f>IF(AT_2015[[#This Row],[Data ]]&gt;1,1,0)</f>
        <v>0</v>
      </c>
      <c r="B65" s="6"/>
      <c r="C65" s="7"/>
      <c r="D65" s="8"/>
      <c r="E65" s="9"/>
      <c r="F65" s="193"/>
      <c r="G65" s="9"/>
      <c r="H65" s="10"/>
      <c r="I65" s="10"/>
      <c r="J65" s="9"/>
      <c r="K65" s="9"/>
      <c r="L65" s="9"/>
      <c r="M65" s="11"/>
      <c r="N65" s="9"/>
      <c r="O65" s="12"/>
      <c r="P65" s="13"/>
      <c r="Q65" s="9"/>
      <c r="R65" s="14"/>
      <c r="S65" s="13"/>
      <c r="T65" s="15"/>
      <c r="U65" s="15"/>
      <c r="V65" s="15"/>
      <c r="W65" s="15"/>
      <c r="X65" s="15"/>
      <c r="Y65" s="203">
        <f>SUM(AT_2015[[#This Row],[Mão de obra]:[Outros]])</f>
        <v>0</v>
      </c>
      <c r="Z65" s="143"/>
      <c r="AA65" s="159">
        <f>IF(AT_2015[[#This Row],[Correio]]&gt;0,1,0)</f>
        <v>0</v>
      </c>
      <c r="AB65" s="159" t="str">
        <f>IF(AT_2015[[#This Row],[Correio]]&gt;0,"sim","não")</f>
        <v>não</v>
      </c>
      <c r="AC65" s="130" t="str">
        <f t="shared" si="3"/>
        <v/>
      </c>
      <c r="AD65" s="131" t="str">
        <f t="shared" si="4"/>
        <v/>
      </c>
      <c r="AE65" s="132" t="str">
        <f t="shared" si="5"/>
        <v/>
      </c>
      <c r="AF65" s="132" t="str">
        <f t="shared" si="6"/>
        <v/>
      </c>
      <c r="AG65" s="132" t="str">
        <f t="shared" si="7"/>
        <v/>
      </c>
      <c r="AH65" s="132" t="str">
        <f t="shared" si="8"/>
        <v/>
      </c>
      <c r="AI65" s="125"/>
      <c r="AJ65" s="125"/>
      <c r="AK65" s="125"/>
      <c r="AL65" s="125"/>
      <c r="AM65" s="125"/>
      <c r="AN65" s="125"/>
      <c r="AO65" s="125"/>
      <c r="AP65" s="137"/>
      <c r="AQ65" s="125"/>
      <c r="AR65" s="125"/>
      <c r="AS65" s="125"/>
      <c r="AT65" s="125"/>
      <c r="AU65" s="135" t="str">
        <f t="shared" si="1"/>
        <v/>
      </c>
      <c r="AV65" s="136">
        <f t="shared" si="2"/>
        <v>0</v>
      </c>
    </row>
    <row r="66" spans="1:48" ht="26.25" customHeight="1">
      <c r="A66" s="5">
        <f>IF(AT_2015[[#This Row],[Data ]]&gt;1,1,0)</f>
        <v>0</v>
      </c>
      <c r="B66" s="6"/>
      <c r="C66" s="7"/>
      <c r="D66" s="8"/>
      <c r="E66" s="9"/>
      <c r="F66" s="193"/>
      <c r="G66" s="9"/>
      <c r="H66" s="10"/>
      <c r="I66" s="10"/>
      <c r="J66" s="9"/>
      <c r="K66" s="9"/>
      <c r="L66" s="9"/>
      <c r="M66" s="11"/>
      <c r="N66" s="9"/>
      <c r="O66" s="12"/>
      <c r="P66" s="13"/>
      <c r="Q66" s="9"/>
      <c r="R66" s="14"/>
      <c r="S66" s="13"/>
      <c r="T66" s="15"/>
      <c r="U66" s="15"/>
      <c r="V66" s="15"/>
      <c r="W66" s="15"/>
      <c r="X66" s="15"/>
      <c r="Y66" s="203">
        <f>SUM(AT_2015[[#This Row],[Mão de obra]:[Outros]])</f>
        <v>0</v>
      </c>
      <c r="Z66" s="143"/>
      <c r="AA66" s="159">
        <f>IF(AT_2015[[#This Row],[Correio]]&gt;0,1,0)</f>
        <v>0</v>
      </c>
      <c r="AB66" s="159" t="str">
        <f>IF(AT_2015[[#This Row],[Correio]]&gt;0,"sim","não")</f>
        <v>não</v>
      </c>
      <c r="AC66" s="130" t="str">
        <f t="shared" si="3"/>
        <v/>
      </c>
      <c r="AD66" s="131" t="str">
        <f t="shared" si="4"/>
        <v/>
      </c>
      <c r="AE66" s="132" t="str">
        <f t="shared" si="5"/>
        <v/>
      </c>
      <c r="AF66" s="132" t="str">
        <f t="shared" si="6"/>
        <v/>
      </c>
      <c r="AG66" s="132" t="str">
        <f t="shared" si="7"/>
        <v/>
      </c>
      <c r="AH66" s="132" t="str">
        <f t="shared" si="8"/>
        <v/>
      </c>
      <c r="AI66" s="125"/>
      <c r="AJ66" s="125"/>
      <c r="AK66" s="125"/>
      <c r="AL66" s="125"/>
      <c r="AM66" s="125"/>
      <c r="AN66" s="125"/>
      <c r="AO66" s="125"/>
      <c r="AP66" s="137"/>
      <c r="AQ66" s="125"/>
      <c r="AR66" s="125"/>
      <c r="AS66" s="125"/>
      <c r="AT66" s="125"/>
      <c r="AU66" s="135" t="str">
        <f t="shared" si="1"/>
        <v/>
      </c>
      <c r="AV66" s="136">
        <f t="shared" si="2"/>
        <v>0</v>
      </c>
    </row>
    <row r="67" spans="1:48" ht="26.25" customHeight="1">
      <c r="A67" s="5">
        <f>IF(AT_2015[[#This Row],[Data ]]&gt;1,1,0)</f>
        <v>0</v>
      </c>
      <c r="B67" s="6"/>
      <c r="C67" s="7"/>
      <c r="D67" s="8"/>
      <c r="E67" s="9"/>
      <c r="F67" s="193"/>
      <c r="G67" s="9"/>
      <c r="H67" s="10"/>
      <c r="I67" s="10"/>
      <c r="J67" s="9"/>
      <c r="K67" s="9"/>
      <c r="L67" s="9"/>
      <c r="M67" s="11"/>
      <c r="N67" s="9"/>
      <c r="O67" s="12"/>
      <c r="P67" s="13"/>
      <c r="Q67" s="9"/>
      <c r="R67" s="14"/>
      <c r="S67" s="13"/>
      <c r="T67" s="15"/>
      <c r="U67" s="15"/>
      <c r="V67" s="15"/>
      <c r="W67" s="15"/>
      <c r="X67" s="15"/>
      <c r="Y67" s="203">
        <f>SUM(AT_2015[[#This Row],[Mão de obra]:[Outros]])</f>
        <v>0</v>
      </c>
      <c r="Z67" s="19"/>
      <c r="AA67" s="159">
        <f>IF(AT_2015[[#This Row],[Correio]]&gt;0,1,0)</f>
        <v>0</v>
      </c>
      <c r="AB67" s="159" t="str">
        <f>IF(AT_2015[[#This Row],[Correio]]&gt;0,"sim","não")</f>
        <v>não</v>
      </c>
      <c r="AC67" s="130" t="str">
        <f t="shared" si="3"/>
        <v/>
      </c>
      <c r="AD67" s="131" t="str">
        <f t="shared" si="4"/>
        <v/>
      </c>
      <c r="AE67" s="132" t="str">
        <f t="shared" si="5"/>
        <v/>
      </c>
      <c r="AF67" s="132" t="str">
        <f t="shared" si="6"/>
        <v/>
      </c>
      <c r="AG67" s="132" t="str">
        <f t="shared" si="7"/>
        <v/>
      </c>
      <c r="AH67" s="132" t="str">
        <f t="shared" si="8"/>
        <v/>
      </c>
      <c r="AI67" s="125"/>
      <c r="AJ67" s="125"/>
      <c r="AK67" s="125"/>
      <c r="AL67" s="125"/>
      <c r="AM67" s="125"/>
      <c r="AN67" s="125"/>
      <c r="AO67" s="125"/>
      <c r="AP67" s="137"/>
      <c r="AQ67" s="125"/>
      <c r="AR67" s="125"/>
      <c r="AS67" s="125"/>
      <c r="AT67" s="125"/>
      <c r="AU67" s="135" t="str">
        <f t="shared" si="1"/>
        <v/>
      </c>
      <c r="AV67" s="136">
        <f t="shared" si="2"/>
        <v>0</v>
      </c>
    </row>
    <row r="68" spans="1:48" ht="26.25" customHeight="1">
      <c r="A68" s="5">
        <f>IF(AT_2015[[#This Row],[Data ]]&gt;1,1,0)</f>
        <v>0</v>
      </c>
      <c r="B68" s="6"/>
      <c r="C68" s="7"/>
      <c r="D68" s="8"/>
      <c r="E68" s="9"/>
      <c r="F68" s="194"/>
      <c r="G68" s="9"/>
      <c r="H68" s="10"/>
      <c r="I68" s="10"/>
      <c r="J68" s="9"/>
      <c r="K68" s="9"/>
      <c r="L68" s="9"/>
      <c r="M68" s="11"/>
      <c r="N68" s="9"/>
      <c r="O68" s="12"/>
      <c r="P68" s="13"/>
      <c r="Q68" s="9"/>
      <c r="R68" s="14"/>
      <c r="S68" s="13"/>
      <c r="T68" s="15"/>
      <c r="U68" s="15"/>
      <c r="V68" s="15"/>
      <c r="W68" s="15"/>
      <c r="X68" s="15"/>
      <c r="Y68" s="203">
        <f>SUM(AT_2015[[#This Row],[Mão de obra]:[Outros]])</f>
        <v>0</v>
      </c>
      <c r="Z68" s="143"/>
      <c r="AA68" s="159">
        <f>IF(AT_2015[[#This Row],[Correio]]&gt;0,1,0)</f>
        <v>0</v>
      </c>
      <c r="AB68" s="159" t="str">
        <f>IF(AT_2015[[#This Row],[Correio]]&gt;0,"sim","não")</f>
        <v>não</v>
      </c>
      <c r="AC68" s="130" t="str">
        <f t="shared" si="3"/>
        <v/>
      </c>
      <c r="AD68" s="131" t="str">
        <f t="shared" si="4"/>
        <v/>
      </c>
      <c r="AE68" s="132" t="str">
        <f t="shared" si="5"/>
        <v/>
      </c>
      <c r="AF68" s="132" t="str">
        <f t="shared" si="6"/>
        <v/>
      </c>
      <c r="AG68" s="132" t="str">
        <f t="shared" si="7"/>
        <v/>
      </c>
      <c r="AH68" s="132" t="str">
        <f t="shared" si="8"/>
        <v/>
      </c>
      <c r="AI68" s="125"/>
      <c r="AJ68" s="125"/>
      <c r="AK68" s="125"/>
      <c r="AL68" s="125"/>
      <c r="AM68" s="125"/>
      <c r="AN68" s="125"/>
      <c r="AO68" s="125"/>
      <c r="AP68" s="137"/>
      <c r="AQ68" s="125"/>
      <c r="AR68" s="125"/>
      <c r="AS68" s="125"/>
      <c r="AT68" s="125"/>
      <c r="AU68" s="135" t="str">
        <f t="shared" si="1"/>
        <v/>
      </c>
      <c r="AV68" s="136">
        <f t="shared" si="2"/>
        <v>0</v>
      </c>
    </row>
    <row r="69" spans="1:48" ht="26.25" customHeight="1">
      <c r="A69" s="5">
        <f>IF(AT_2015[[#This Row],[Data ]]&gt;1,1,0)</f>
        <v>0</v>
      </c>
      <c r="B69" s="6"/>
      <c r="C69" s="7"/>
      <c r="D69" s="8"/>
      <c r="E69" s="9"/>
      <c r="F69" s="194"/>
      <c r="G69" s="9"/>
      <c r="H69" s="10"/>
      <c r="I69" s="10"/>
      <c r="J69" s="9"/>
      <c r="K69" s="9"/>
      <c r="L69" s="9"/>
      <c r="M69" s="11"/>
      <c r="N69" s="9"/>
      <c r="O69" s="12"/>
      <c r="P69" s="13"/>
      <c r="Q69" s="9"/>
      <c r="R69" s="14"/>
      <c r="S69" s="13"/>
      <c r="T69" s="149"/>
      <c r="U69" s="15"/>
      <c r="V69" s="15"/>
      <c r="W69" s="15"/>
      <c r="X69" s="15"/>
      <c r="Y69" s="203">
        <f>SUM(AT_2015[[#This Row],[Mão de obra]:[Outros]])</f>
        <v>0</v>
      </c>
      <c r="Z69" s="18"/>
      <c r="AA69" s="159">
        <f>IF(AT_2015[[#This Row],[Correio]]&gt;0,1,0)</f>
        <v>0</v>
      </c>
      <c r="AB69" s="159" t="str">
        <f>IF(AT_2015[[#This Row],[Correio]]&gt;0,"sim","não")</f>
        <v>não</v>
      </c>
      <c r="AC69" s="130" t="str">
        <f t="shared" si="3"/>
        <v/>
      </c>
      <c r="AD69" s="131" t="str">
        <f t="shared" si="4"/>
        <v/>
      </c>
      <c r="AE69" s="132" t="str">
        <f t="shared" si="5"/>
        <v/>
      </c>
      <c r="AF69" s="132" t="str">
        <f t="shared" si="6"/>
        <v/>
      </c>
      <c r="AG69" s="132" t="str">
        <f t="shared" si="7"/>
        <v/>
      </c>
      <c r="AH69" s="132" t="str">
        <f t="shared" si="8"/>
        <v/>
      </c>
      <c r="AI69" s="125"/>
      <c r="AJ69" s="125"/>
      <c r="AK69" s="125"/>
      <c r="AL69" s="125"/>
      <c r="AM69" s="125"/>
      <c r="AN69" s="125"/>
      <c r="AO69" s="125"/>
      <c r="AP69" s="137"/>
      <c r="AQ69" s="125"/>
      <c r="AR69" s="125"/>
      <c r="AS69" s="125"/>
      <c r="AT69" s="125"/>
      <c r="AU69" s="135" t="str">
        <f t="shared" si="1"/>
        <v/>
      </c>
      <c r="AV69" s="136">
        <f t="shared" si="2"/>
        <v>0</v>
      </c>
    </row>
    <row r="70" spans="1:48" ht="26.25" customHeight="1">
      <c r="A70" s="5">
        <f>IF(AT_2015[[#This Row],[Data ]]&gt;1,1,0)</f>
        <v>0</v>
      </c>
      <c r="B70" s="6"/>
      <c r="C70" s="7"/>
      <c r="D70" s="8"/>
      <c r="E70" s="9"/>
      <c r="F70" s="193"/>
      <c r="G70" s="9"/>
      <c r="H70" s="10"/>
      <c r="I70" s="10"/>
      <c r="J70" s="9"/>
      <c r="K70" s="9"/>
      <c r="L70" s="9"/>
      <c r="M70" s="11"/>
      <c r="N70" s="9"/>
      <c r="O70" s="12"/>
      <c r="P70" s="13"/>
      <c r="Q70" s="9"/>
      <c r="R70" s="14"/>
      <c r="S70" s="13"/>
      <c r="T70" s="15"/>
      <c r="U70" s="15"/>
      <c r="V70" s="15"/>
      <c r="W70" s="15"/>
      <c r="X70" s="15"/>
      <c r="Y70" s="203">
        <f>SUM(AT_2015[[#This Row],[Mão de obra]:[Outros]])</f>
        <v>0</v>
      </c>
      <c r="Z70" s="19"/>
      <c r="AA70" s="159">
        <f>IF(AT_2015[[#This Row],[Correio]]&gt;0,1,0)</f>
        <v>0</v>
      </c>
      <c r="AB70" s="159" t="str">
        <f>IF(AT_2015[[#This Row],[Correio]]&gt;0,"sim","não")</f>
        <v>não</v>
      </c>
      <c r="AC70" s="130" t="str">
        <f t="shared" si="3"/>
        <v/>
      </c>
      <c r="AD70" s="131" t="str">
        <f t="shared" si="4"/>
        <v/>
      </c>
      <c r="AE70" s="132" t="str">
        <f t="shared" si="5"/>
        <v/>
      </c>
      <c r="AF70" s="132" t="str">
        <f t="shared" si="6"/>
        <v/>
      </c>
      <c r="AG70" s="132" t="str">
        <f t="shared" si="7"/>
        <v/>
      </c>
      <c r="AH70" s="132" t="str">
        <f t="shared" si="8"/>
        <v/>
      </c>
      <c r="AI70" s="125"/>
      <c r="AJ70" s="125"/>
      <c r="AK70" s="125"/>
      <c r="AL70" s="125"/>
      <c r="AM70" s="125"/>
      <c r="AN70" s="125"/>
      <c r="AO70" s="125"/>
      <c r="AP70" s="137"/>
      <c r="AQ70" s="125"/>
      <c r="AR70" s="125"/>
      <c r="AS70" s="125"/>
      <c r="AT70" s="125"/>
      <c r="AU70" s="135" t="str">
        <f t="shared" ref="AU70:AU99" si="9">IF(B70="","",TEXT(B70,"MMAAAA")&amp;M70&amp;K70)</f>
        <v/>
      </c>
      <c r="AV70" s="136">
        <f t="shared" ref="AV70:AV100" si="10">SUM(T70:X70)</f>
        <v>0</v>
      </c>
    </row>
    <row r="71" spans="1:48" ht="26.25" customHeight="1">
      <c r="A71" s="5">
        <f>IF(AT_2015[[#This Row],[Data ]]&gt;1,1,0)</f>
        <v>0</v>
      </c>
      <c r="B71" s="6"/>
      <c r="C71" s="7"/>
      <c r="D71" s="8"/>
      <c r="E71" s="9"/>
      <c r="F71" s="193"/>
      <c r="G71" s="9"/>
      <c r="H71" s="10"/>
      <c r="I71" s="10"/>
      <c r="J71" s="9"/>
      <c r="K71" s="9"/>
      <c r="L71" s="9"/>
      <c r="M71" s="11"/>
      <c r="N71" s="9"/>
      <c r="O71" s="12"/>
      <c r="P71" s="13"/>
      <c r="Q71" s="9"/>
      <c r="R71" s="14"/>
      <c r="S71" s="150"/>
      <c r="T71" s="15"/>
      <c r="U71" s="15"/>
      <c r="V71" s="15"/>
      <c r="W71" s="15"/>
      <c r="X71" s="15"/>
      <c r="Y71" s="203">
        <f>SUM(AT_2015[[#This Row],[Mão de obra]:[Outros]])</f>
        <v>0</v>
      </c>
      <c r="Z71" s="19"/>
      <c r="AA71" s="159">
        <f>IF(AT_2015[[#This Row],[Correio]]&gt;0,1,0)</f>
        <v>0</v>
      </c>
      <c r="AB71" s="159" t="str">
        <f>IF(AT_2015[[#This Row],[Correio]]&gt;0,"sim","não")</f>
        <v>não</v>
      </c>
      <c r="AC71" s="130" t="str">
        <f t="shared" ref="AC71:AC99" si="11">IF(B71="","",TEXT(B71,"ddmmaaaa")&amp;F71)</f>
        <v/>
      </c>
      <c r="AD71" s="131" t="str">
        <f t="shared" ref="AD71:AD100" si="12">IF(B71="","",D71)</f>
        <v/>
      </c>
      <c r="AE71" s="132" t="str">
        <f t="shared" ref="AE71:AE100" si="13">IF(B71="","",T71)</f>
        <v/>
      </c>
      <c r="AF71" s="132" t="str">
        <f t="shared" ref="AF71:AF100" si="14">IF(B71="","",U71)</f>
        <v/>
      </c>
      <c r="AG71" s="132" t="str">
        <f t="shared" ref="AG71:AG100" si="15">IF(B71="","",V71)</f>
        <v/>
      </c>
      <c r="AH71" s="132" t="str">
        <f t="shared" ref="AH71:AH100" si="16">IF(B71="","",W71)</f>
        <v/>
      </c>
      <c r="AI71" s="125"/>
      <c r="AJ71" s="125"/>
      <c r="AK71" s="125"/>
      <c r="AL71" s="125"/>
      <c r="AM71" s="125"/>
      <c r="AN71" s="125"/>
      <c r="AO71" s="125"/>
      <c r="AP71" s="137"/>
      <c r="AQ71" s="125"/>
      <c r="AR71" s="125"/>
      <c r="AS71" s="125"/>
      <c r="AT71" s="125"/>
      <c r="AU71" s="135" t="str">
        <f t="shared" si="9"/>
        <v/>
      </c>
      <c r="AV71" s="136">
        <f t="shared" si="10"/>
        <v>0</v>
      </c>
    </row>
    <row r="72" spans="1:48" ht="26.25" customHeight="1">
      <c r="A72" s="5">
        <f>IF(AT_2015[[#This Row],[Data ]]&gt;1,1,0)</f>
        <v>0</v>
      </c>
      <c r="B72" s="147"/>
      <c r="C72" s="148"/>
      <c r="D72" s="187"/>
      <c r="E72" s="68"/>
      <c r="F72" s="193"/>
      <c r="G72" s="68"/>
      <c r="H72" s="151"/>
      <c r="I72" s="151"/>
      <c r="J72" s="68"/>
      <c r="K72" s="68"/>
      <c r="L72" s="68"/>
      <c r="M72" s="69"/>
      <c r="N72" s="68"/>
      <c r="O72" s="142"/>
      <c r="P72" s="150"/>
      <c r="Q72" s="68"/>
      <c r="R72" s="188"/>
      <c r="S72" s="150"/>
      <c r="T72" s="149"/>
      <c r="U72" s="149"/>
      <c r="V72" s="15"/>
      <c r="W72" s="15"/>
      <c r="X72" s="15"/>
      <c r="Y72" s="203">
        <f>SUM(AT_2015[[#This Row],[Mão de obra]:[Outros]])</f>
        <v>0</v>
      </c>
      <c r="Z72" s="189"/>
      <c r="AA72" s="159">
        <f>IF(AT_2015[[#This Row],[Correio]]&gt;0,1,0)</f>
        <v>0</v>
      </c>
      <c r="AB72" s="159" t="str">
        <f>IF(AT_2015[[#This Row],[Correio]]&gt;0,"sim","não")</f>
        <v>não</v>
      </c>
      <c r="AC72" s="130" t="str">
        <f t="shared" si="11"/>
        <v/>
      </c>
      <c r="AD72" s="131" t="str">
        <f t="shared" si="12"/>
        <v/>
      </c>
      <c r="AE72" s="132" t="str">
        <f t="shared" si="13"/>
        <v/>
      </c>
      <c r="AF72" s="132" t="str">
        <f t="shared" si="14"/>
        <v/>
      </c>
      <c r="AG72" s="132" t="str">
        <f t="shared" si="15"/>
        <v/>
      </c>
      <c r="AH72" s="132" t="str">
        <f t="shared" si="16"/>
        <v/>
      </c>
      <c r="AI72" s="125"/>
      <c r="AJ72" s="125"/>
      <c r="AK72" s="125"/>
      <c r="AL72" s="125"/>
      <c r="AM72" s="125"/>
      <c r="AN72" s="125"/>
      <c r="AO72" s="125"/>
      <c r="AP72" s="137"/>
      <c r="AQ72" s="125"/>
      <c r="AR72" s="125"/>
      <c r="AS72" s="125"/>
      <c r="AT72" s="125"/>
      <c r="AU72" s="135" t="str">
        <f t="shared" si="9"/>
        <v/>
      </c>
      <c r="AV72" s="136">
        <f t="shared" si="10"/>
        <v>0</v>
      </c>
    </row>
    <row r="73" spans="1:48" ht="26.25" customHeight="1">
      <c r="A73" s="5">
        <f>IF(AT_2015[[#This Row],[Data ]]&gt;1,1,0)</f>
        <v>0</v>
      </c>
      <c r="B73" s="6"/>
      <c r="C73" s="7"/>
      <c r="D73" s="8"/>
      <c r="E73" s="9"/>
      <c r="F73" s="194"/>
      <c r="G73" s="9"/>
      <c r="H73" s="10"/>
      <c r="I73" s="10"/>
      <c r="J73" s="9"/>
      <c r="K73" s="9"/>
      <c r="L73" s="9"/>
      <c r="M73" s="11"/>
      <c r="N73" s="9"/>
      <c r="O73" s="12"/>
      <c r="P73" s="13"/>
      <c r="Q73" s="9"/>
      <c r="R73" s="14"/>
      <c r="S73" s="13"/>
      <c r="T73" s="15"/>
      <c r="U73" s="15"/>
      <c r="V73" s="15"/>
      <c r="W73" s="15"/>
      <c r="X73" s="15"/>
      <c r="Y73" s="203">
        <f>SUM(AT_2015[[#This Row],[Mão de obra]:[Outros]])</f>
        <v>0</v>
      </c>
      <c r="Z73" s="19"/>
      <c r="AA73" s="159">
        <f>IF(AT_2015[[#This Row],[Correio]]&gt;0,1,0)</f>
        <v>0</v>
      </c>
      <c r="AB73" s="159" t="str">
        <f>IF(AT_2015[[#This Row],[Correio]]&gt;0,"sim","não")</f>
        <v>não</v>
      </c>
      <c r="AC73" s="130" t="str">
        <f t="shared" si="11"/>
        <v/>
      </c>
      <c r="AD73" s="131" t="str">
        <f t="shared" si="12"/>
        <v/>
      </c>
      <c r="AE73" s="132" t="str">
        <f t="shared" si="13"/>
        <v/>
      </c>
      <c r="AF73" s="132" t="str">
        <f t="shared" si="14"/>
        <v/>
      </c>
      <c r="AG73" s="132" t="str">
        <f t="shared" si="15"/>
        <v/>
      </c>
      <c r="AH73" s="132" t="str">
        <f t="shared" si="16"/>
        <v/>
      </c>
      <c r="AI73" s="125"/>
      <c r="AJ73" s="125"/>
      <c r="AK73" s="125"/>
      <c r="AL73" s="125"/>
      <c r="AM73" s="125"/>
      <c r="AN73" s="125"/>
      <c r="AO73" s="125"/>
      <c r="AP73" s="137"/>
      <c r="AQ73" s="125"/>
      <c r="AR73" s="125"/>
      <c r="AS73" s="125"/>
      <c r="AT73" s="125"/>
      <c r="AU73" s="135" t="str">
        <f t="shared" si="9"/>
        <v/>
      </c>
      <c r="AV73" s="136">
        <f t="shared" si="10"/>
        <v>0</v>
      </c>
    </row>
    <row r="74" spans="1:48" ht="26.25" customHeight="1">
      <c r="A74" s="5">
        <f>IF(AT_2015[[#This Row],[Data ]]&gt;1,1,0)</f>
        <v>0</v>
      </c>
      <c r="B74" s="6"/>
      <c r="C74" s="7"/>
      <c r="D74" s="8"/>
      <c r="E74" s="9"/>
      <c r="F74" s="193"/>
      <c r="G74" s="9"/>
      <c r="H74" s="10"/>
      <c r="I74" s="10"/>
      <c r="J74" s="9"/>
      <c r="K74" s="9"/>
      <c r="L74" s="68"/>
      <c r="M74" s="69"/>
      <c r="N74" s="68"/>
      <c r="O74" s="12"/>
      <c r="P74" s="13"/>
      <c r="Q74" s="9"/>
      <c r="R74" s="14"/>
      <c r="S74" s="13"/>
      <c r="T74" s="15"/>
      <c r="U74" s="15"/>
      <c r="V74" s="15"/>
      <c r="W74" s="15"/>
      <c r="X74" s="15"/>
      <c r="Y74" s="203">
        <f>SUM(AT_2015[[#This Row],[Mão de obra]:[Outros]])</f>
        <v>0</v>
      </c>
      <c r="Z74" s="19"/>
      <c r="AA74" s="159">
        <f>IF(AT_2015[[#This Row],[Correio]]&gt;0,1,0)</f>
        <v>0</v>
      </c>
      <c r="AB74" s="159" t="str">
        <f>IF(AT_2015[[#This Row],[Correio]]&gt;0,"sim","não")</f>
        <v>não</v>
      </c>
      <c r="AC74" s="130" t="str">
        <f t="shared" si="11"/>
        <v/>
      </c>
      <c r="AD74" s="131" t="str">
        <f t="shared" si="12"/>
        <v/>
      </c>
      <c r="AE74" s="132" t="str">
        <f t="shared" si="13"/>
        <v/>
      </c>
      <c r="AF74" s="132" t="str">
        <f t="shared" si="14"/>
        <v/>
      </c>
      <c r="AG74" s="132" t="str">
        <f t="shared" si="15"/>
        <v/>
      </c>
      <c r="AH74" s="132" t="str">
        <f t="shared" si="16"/>
        <v/>
      </c>
      <c r="AI74" s="125"/>
      <c r="AJ74" s="125"/>
      <c r="AK74" s="125"/>
      <c r="AL74" s="125"/>
      <c r="AM74" s="125"/>
      <c r="AN74" s="125"/>
      <c r="AO74" s="125"/>
      <c r="AP74" s="137"/>
      <c r="AQ74" s="125"/>
      <c r="AR74" s="125"/>
      <c r="AS74" s="125"/>
      <c r="AT74" s="125"/>
      <c r="AU74" s="135" t="str">
        <f t="shared" si="9"/>
        <v/>
      </c>
      <c r="AV74" s="136">
        <f t="shared" si="10"/>
        <v>0</v>
      </c>
    </row>
    <row r="75" spans="1:48" ht="26.25" customHeight="1">
      <c r="A75" s="5">
        <f>IF(AT_2015[[#This Row],[Data ]]&gt;1,1,0)</f>
        <v>0</v>
      </c>
      <c r="B75" s="6"/>
      <c r="C75" s="7"/>
      <c r="D75" s="8"/>
      <c r="E75" s="9"/>
      <c r="F75" s="193"/>
      <c r="G75" s="9"/>
      <c r="H75" s="10"/>
      <c r="I75" s="10"/>
      <c r="J75" s="9"/>
      <c r="K75" s="9"/>
      <c r="L75" s="9"/>
      <c r="M75" s="11"/>
      <c r="N75" s="9"/>
      <c r="O75" s="12"/>
      <c r="P75" s="13"/>
      <c r="Q75" s="9"/>
      <c r="R75" s="14"/>
      <c r="S75" s="13"/>
      <c r="T75" s="15"/>
      <c r="U75" s="15"/>
      <c r="V75" s="15"/>
      <c r="W75" s="15"/>
      <c r="X75" s="15"/>
      <c r="Y75" s="203">
        <f>SUM(AT_2015[[#This Row],[Mão de obra]:[Outros]])</f>
        <v>0</v>
      </c>
      <c r="Z75" s="19"/>
      <c r="AA75" s="159">
        <f>IF(AT_2015[[#This Row],[Correio]]&gt;0,1,0)</f>
        <v>0</v>
      </c>
      <c r="AB75" s="159" t="str">
        <f>IF(AT_2015[[#This Row],[Correio]]&gt;0,"sim","não")</f>
        <v>não</v>
      </c>
      <c r="AC75" s="130" t="str">
        <f t="shared" si="11"/>
        <v/>
      </c>
      <c r="AD75" s="131" t="str">
        <f t="shared" si="12"/>
        <v/>
      </c>
      <c r="AE75" s="132" t="str">
        <f t="shared" si="13"/>
        <v/>
      </c>
      <c r="AF75" s="132" t="str">
        <f t="shared" si="14"/>
        <v/>
      </c>
      <c r="AG75" s="132" t="str">
        <f t="shared" si="15"/>
        <v/>
      </c>
      <c r="AH75" s="132" t="str">
        <f t="shared" si="16"/>
        <v/>
      </c>
      <c r="AI75" s="125"/>
      <c r="AJ75" s="125"/>
      <c r="AK75" s="125"/>
      <c r="AL75" s="125"/>
      <c r="AM75" s="125"/>
      <c r="AN75" s="125"/>
      <c r="AO75" s="125"/>
      <c r="AP75" s="137"/>
      <c r="AQ75" s="125"/>
      <c r="AR75" s="125"/>
      <c r="AS75" s="125"/>
      <c r="AT75" s="125"/>
      <c r="AU75" s="135" t="str">
        <f t="shared" si="9"/>
        <v/>
      </c>
      <c r="AV75" s="136">
        <f t="shared" si="10"/>
        <v>0</v>
      </c>
    </row>
    <row r="76" spans="1:48" ht="26.25" customHeight="1">
      <c r="A76" s="5">
        <f>IF(AT_2015[[#This Row],[Data ]]&gt;1,1,0)</f>
        <v>0</v>
      </c>
      <c r="B76" s="6"/>
      <c r="C76" s="7"/>
      <c r="D76" s="8"/>
      <c r="E76" s="9"/>
      <c r="F76" s="193"/>
      <c r="G76" s="9"/>
      <c r="H76" s="10"/>
      <c r="I76" s="10"/>
      <c r="J76" s="9"/>
      <c r="K76" s="9"/>
      <c r="L76" s="9"/>
      <c r="M76" s="11"/>
      <c r="N76" s="9"/>
      <c r="O76" s="12"/>
      <c r="P76" s="13"/>
      <c r="Q76" s="9"/>
      <c r="R76" s="14"/>
      <c r="S76" s="13"/>
      <c r="T76" s="15"/>
      <c r="U76" s="15"/>
      <c r="V76" s="15"/>
      <c r="W76" s="15"/>
      <c r="X76" s="15"/>
      <c r="Y76" s="203">
        <f>SUM(AT_2015[[#This Row],[Mão de obra]:[Outros]])</f>
        <v>0</v>
      </c>
      <c r="Z76" s="19"/>
      <c r="AA76" s="159">
        <f>IF(AT_2015[[#This Row],[Correio]]&gt;0,1,0)</f>
        <v>0</v>
      </c>
      <c r="AB76" s="159" t="str">
        <f>IF(AT_2015[[#This Row],[Correio]]&gt;0,"sim","não")</f>
        <v>não</v>
      </c>
      <c r="AC76" s="130" t="str">
        <f t="shared" si="11"/>
        <v/>
      </c>
      <c r="AD76" s="131" t="str">
        <f t="shared" si="12"/>
        <v/>
      </c>
      <c r="AE76" s="132" t="str">
        <f t="shared" si="13"/>
        <v/>
      </c>
      <c r="AF76" s="132" t="str">
        <f t="shared" si="14"/>
        <v/>
      </c>
      <c r="AG76" s="132" t="str">
        <f t="shared" si="15"/>
        <v/>
      </c>
      <c r="AH76" s="132" t="str">
        <f t="shared" si="16"/>
        <v/>
      </c>
      <c r="AI76" s="125"/>
      <c r="AJ76" s="125"/>
      <c r="AK76" s="125"/>
      <c r="AL76" s="125"/>
      <c r="AM76" s="125"/>
      <c r="AN76" s="125"/>
      <c r="AO76" s="125"/>
      <c r="AP76" s="137"/>
      <c r="AQ76" s="125"/>
      <c r="AR76" s="125"/>
      <c r="AS76" s="125"/>
      <c r="AT76" s="125"/>
      <c r="AU76" s="135" t="str">
        <f t="shared" si="9"/>
        <v/>
      </c>
      <c r="AV76" s="136">
        <f t="shared" si="10"/>
        <v>0</v>
      </c>
    </row>
    <row r="77" spans="1:48" ht="26.25" customHeight="1">
      <c r="A77" s="5">
        <f>IF(AT_2015[[#This Row],[Data ]]&gt;1,1,0)</f>
        <v>0</v>
      </c>
      <c r="B77" s="6"/>
      <c r="C77" s="7"/>
      <c r="D77" s="8"/>
      <c r="E77" s="9"/>
      <c r="F77" s="193"/>
      <c r="G77" s="9"/>
      <c r="H77" s="10"/>
      <c r="I77" s="10"/>
      <c r="J77" s="68"/>
      <c r="K77" s="9"/>
      <c r="L77" s="9"/>
      <c r="M77" s="11"/>
      <c r="N77" s="9"/>
      <c r="O77" s="12"/>
      <c r="P77" s="13"/>
      <c r="Q77" s="9"/>
      <c r="R77" s="14"/>
      <c r="S77" s="13"/>
      <c r="T77" s="15"/>
      <c r="U77" s="15"/>
      <c r="V77" s="15"/>
      <c r="W77" s="15"/>
      <c r="X77" s="15"/>
      <c r="Y77" s="203">
        <f>SUM(AT_2015[[#This Row],[Mão de obra]:[Outros]])</f>
        <v>0</v>
      </c>
      <c r="Z77" s="19"/>
      <c r="AA77" s="159">
        <f>IF(AT_2015[[#This Row],[Correio]]&gt;0,1,0)</f>
        <v>0</v>
      </c>
      <c r="AB77" s="159" t="str">
        <f>IF(AT_2015[[#This Row],[Correio]]&gt;0,"sim","não")</f>
        <v>não</v>
      </c>
      <c r="AC77" s="130" t="str">
        <f t="shared" si="11"/>
        <v/>
      </c>
      <c r="AD77" s="131" t="str">
        <f t="shared" si="12"/>
        <v/>
      </c>
      <c r="AE77" s="132" t="str">
        <f t="shared" si="13"/>
        <v/>
      </c>
      <c r="AF77" s="132" t="str">
        <f t="shared" si="14"/>
        <v/>
      </c>
      <c r="AG77" s="132" t="str">
        <f t="shared" si="15"/>
        <v/>
      </c>
      <c r="AH77" s="132" t="str">
        <f t="shared" si="16"/>
        <v/>
      </c>
      <c r="AI77" s="125"/>
      <c r="AJ77" s="125"/>
      <c r="AK77" s="125"/>
      <c r="AL77" s="125"/>
      <c r="AM77" s="125"/>
      <c r="AN77" s="125"/>
      <c r="AO77" s="125"/>
      <c r="AP77" s="137"/>
      <c r="AQ77" s="125"/>
      <c r="AR77" s="125"/>
      <c r="AS77" s="125"/>
      <c r="AT77" s="125"/>
      <c r="AU77" s="135" t="str">
        <f t="shared" si="9"/>
        <v/>
      </c>
      <c r="AV77" s="136">
        <f t="shared" si="10"/>
        <v>0</v>
      </c>
    </row>
    <row r="78" spans="1:48" ht="26.25" customHeight="1">
      <c r="A78" s="5">
        <f>IF(AT_2015[[#This Row],[Data ]]&gt;1,1,0)</f>
        <v>0</v>
      </c>
      <c r="B78" s="6"/>
      <c r="C78" s="7"/>
      <c r="D78" s="8"/>
      <c r="E78" s="9"/>
      <c r="F78" s="194"/>
      <c r="G78" s="9"/>
      <c r="H78" s="10"/>
      <c r="I78" s="10"/>
      <c r="J78" s="9"/>
      <c r="K78" s="9"/>
      <c r="L78" s="9"/>
      <c r="M78" s="11"/>
      <c r="N78" s="74"/>
      <c r="O78" s="12"/>
      <c r="P78" s="13"/>
      <c r="Q78" s="9"/>
      <c r="R78" s="14"/>
      <c r="S78" s="13"/>
      <c r="T78" s="15"/>
      <c r="U78" s="15"/>
      <c r="V78" s="15"/>
      <c r="W78" s="15"/>
      <c r="X78" s="15"/>
      <c r="Y78" s="203">
        <f>SUM(AT_2015[[#This Row],[Mão de obra]:[Outros]])</f>
        <v>0</v>
      </c>
      <c r="Z78" s="19"/>
      <c r="AA78" s="159">
        <f>IF(AT_2015[[#This Row],[Correio]]&gt;0,1,0)</f>
        <v>0</v>
      </c>
      <c r="AB78" s="159" t="str">
        <f>IF(AT_2015[[#This Row],[Correio]]&gt;0,"sim","não")</f>
        <v>não</v>
      </c>
      <c r="AC78" s="130" t="str">
        <f t="shared" si="11"/>
        <v/>
      </c>
      <c r="AD78" s="131" t="str">
        <f t="shared" si="12"/>
        <v/>
      </c>
      <c r="AE78" s="132" t="str">
        <f t="shared" si="13"/>
        <v/>
      </c>
      <c r="AF78" s="132" t="str">
        <f t="shared" si="14"/>
        <v/>
      </c>
      <c r="AG78" s="132" t="str">
        <f t="shared" si="15"/>
        <v/>
      </c>
      <c r="AH78" s="132" t="str">
        <f t="shared" si="16"/>
        <v/>
      </c>
      <c r="AI78" s="125"/>
      <c r="AJ78" s="125"/>
      <c r="AK78" s="125"/>
      <c r="AL78" s="125"/>
      <c r="AM78" s="125"/>
      <c r="AN78" s="125"/>
      <c r="AO78" s="125"/>
      <c r="AP78" s="137"/>
      <c r="AQ78" s="125"/>
      <c r="AR78" s="125"/>
      <c r="AS78" s="125"/>
      <c r="AT78" s="125"/>
      <c r="AU78" s="135" t="str">
        <f t="shared" si="9"/>
        <v/>
      </c>
      <c r="AV78" s="136">
        <f t="shared" si="10"/>
        <v>0</v>
      </c>
    </row>
    <row r="79" spans="1:48" ht="26.25" customHeight="1">
      <c r="A79" s="5">
        <f>IF(AT_2015[[#This Row],[Data ]]&gt;1,1,0)</f>
        <v>0</v>
      </c>
      <c r="B79" s="6"/>
      <c r="C79" s="7"/>
      <c r="D79" s="8"/>
      <c r="E79" s="9"/>
      <c r="F79" s="194"/>
      <c r="G79" s="9"/>
      <c r="H79" s="10"/>
      <c r="I79" s="10"/>
      <c r="J79" s="9"/>
      <c r="K79" s="9"/>
      <c r="L79" s="9"/>
      <c r="M79" s="11"/>
      <c r="N79" s="9"/>
      <c r="O79" s="12"/>
      <c r="P79" s="13"/>
      <c r="Q79" s="9"/>
      <c r="R79" s="14"/>
      <c r="S79" s="13"/>
      <c r="T79" s="15"/>
      <c r="U79" s="15"/>
      <c r="V79" s="15"/>
      <c r="W79" s="15"/>
      <c r="X79" s="15"/>
      <c r="Y79" s="203">
        <f>SUM(AT_2015[[#This Row],[Mão de obra]:[Outros]])</f>
        <v>0</v>
      </c>
      <c r="Z79" s="19"/>
      <c r="AA79" s="159">
        <f>IF(AT_2015[[#This Row],[Correio]]&gt;0,1,0)</f>
        <v>0</v>
      </c>
      <c r="AB79" s="159" t="str">
        <f>IF(AT_2015[[#This Row],[Correio]]&gt;0,"sim","não")</f>
        <v>não</v>
      </c>
      <c r="AC79" s="130" t="str">
        <f t="shared" si="11"/>
        <v/>
      </c>
      <c r="AD79" s="131" t="str">
        <f t="shared" si="12"/>
        <v/>
      </c>
      <c r="AE79" s="132" t="str">
        <f t="shared" si="13"/>
        <v/>
      </c>
      <c r="AF79" s="132" t="str">
        <f t="shared" si="14"/>
        <v/>
      </c>
      <c r="AG79" s="132" t="str">
        <f t="shared" si="15"/>
        <v/>
      </c>
      <c r="AH79" s="132" t="str">
        <f t="shared" si="16"/>
        <v/>
      </c>
      <c r="AI79" s="125"/>
      <c r="AJ79" s="125"/>
      <c r="AK79" s="125"/>
      <c r="AL79" s="125"/>
      <c r="AM79" s="125"/>
      <c r="AN79" s="125"/>
      <c r="AO79" s="125"/>
      <c r="AP79" s="137"/>
      <c r="AQ79" s="125"/>
      <c r="AR79" s="125"/>
      <c r="AS79" s="125"/>
      <c r="AT79" s="125"/>
      <c r="AU79" s="135" t="str">
        <f t="shared" si="9"/>
        <v/>
      </c>
      <c r="AV79" s="136">
        <f t="shared" si="10"/>
        <v>0</v>
      </c>
    </row>
    <row r="80" spans="1:48" ht="26.25" customHeight="1">
      <c r="A80" s="5">
        <f>IF(AT_2015[[#This Row],[Data ]]&gt;1,1,0)</f>
        <v>0</v>
      </c>
      <c r="B80" s="6"/>
      <c r="C80" s="7"/>
      <c r="D80" s="8"/>
      <c r="E80" s="9"/>
      <c r="F80" s="193"/>
      <c r="G80" s="9"/>
      <c r="H80" s="10"/>
      <c r="I80" s="10"/>
      <c r="J80" s="9"/>
      <c r="K80" s="9"/>
      <c r="L80" s="9"/>
      <c r="M80" s="11"/>
      <c r="N80" s="9"/>
      <c r="O80" s="12"/>
      <c r="P80" s="13"/>
      <c r="Q80" s="9"/>
      <c r="R80" s="14"/>
      <c r="S80" s="13"/>
      <c r="T80" s="15"/>
      <c r="U80" s="15"/>
      <c r="V80" s="15"/>
      <c r="W80" s="15"/>
      <c r="X80" s="15"/>
      <c r="Y80" s="203">
        <f>SUM(AT_2015[[#This Row],[Mão de obra]:[Outros]])</f>
        <v>0</v>
      </c>
      <c r="Z80" s="19"/>
      <c r="AA80" s="159">
        <f>IF(AT_2015[[#This Row],[Correio]]&gt;0,1,0)</f>
        <v>0</v>
      </c>
      <c r="AB80" s="159" t="str">
        <f>IF(AT_2015[[#This Row],[Correio]]&gt;0,"sim","não")</f>
        <v>não</v>
      </c>
      <c r="AC80" s="130" t="str">
        <f t="shared" si="11"/>
        <v/>
      </c>
      <c r="AD80" s="131" t="str">
        <f t="shared" si="12"/>
        <v/>
      </c>
      <c r="AE80" s="132" t="str">
        <f t="shared" si="13"/>
        <v/>
      </c>
      <c r="AF80" s="132" t="str">
        <f t="shared" si="14"/>
        <v/>
      </c>
      <c r="AG80" s="132" t="str">
        <f t="shared" si="15"/>
        <v/>
      </c>
      <c r="AH80" s="132" t="str">
        <f t="shared" si="16"/>
        <v/>
      </c>
      <c r="AI80" s="125"/>
      <c r="AJ80" s="125"/>
      <c r="AK80" s="125"/>
      <c r="AL80" s="125"/>
      <c r="AM80" s="125"/>
      <c r="AN80" s="125"/>
      <c r="AO80" s="125"/>
      <c r="AP80" s="137"/>
      <c r="AQ80" s="125"/>
      <c r="AR80" s="125"/>
      <c r="AS80" s="125"/>
      <c r="AT80" s="125"/>
      <c r="AU80" s="135" t="str">
        <f t="shared" si="9"/>
        <v/>
      </c>
      <c r="AV80" s="136">
        <f t="shared" si="10"/>
        <v>0</v>
      </c>
    </row>
    <row r="81" spans="1:48" ht="26.25" customHeight="1">
      <c r="A81" s="5">
        <f>IF(AT_2015[[#This Row],[Data ]]&gt;1,1,0)</f>
        <v>0</v>
      </c>
      <c r="B81" s="6"/>
      <c r="C81" s="7"/>
      <c r="D81" s="8"/>
      <c r="E81" s="9"/>
      <c r="F81" s="193"/>
      <c r="G81" s="9"/>
      <c r="H81" s="10"/>
      <c r="I81" s="10"/>
      <c r="J81" s="9"/>
      <c r="K81" s="9"/>
      <c r="L81" s="9"/>
      <c r="M81" s="11"/>
      <c r="N81" s="74"/>
      <c r="O81" s="12"/>
      <c r="P81" s="13"/>
      <c r="Q81" s="9"/>
      <c r="R81" s="14"/>
      <c r="S81" s="13"/>
      <c r="T81" s="15"/>
      <c r="U81" s="15"/>
      <c r="V81" s="15"/>
      <c r="W81" s="15"/>
      <c r="X81" s="15"/>
      <c r="Y81" s="203">
        <f>SUM(AT_2015[[#This Row],[Mão de obra]:[Outros]])</f>
        <v>0</v>
      </c>
      <c r="Z81" s="19"/>
      <c r="AA81" s="159">
        <f>IF(AT_2015[[#This Row],[Correio]]&gt;0,1,0)</f>
        <v>0</v>
      </c>
      <c r="AB81" s="159" t="str">
        <f>IF(AT_2015[[#This Row],[Correio]]&gt;0,"sim","não")</f>
        <v>não</v>
      </c>
      <c r="AC81" s="130" t="str">
        <f t="shared" si="11"/>
        <v/>
      </c>
      <c r="AD81" s="131" t="str">
        <f t="shared" si="12"/>
        <v/>
      </c>
      <c r="AE81" s="132" t="str">
        <f t="shared" si="13"/>
        <v/>
      </c>
      <c r="AF81" s="132" t="str">
        <f t="shared" si="14"/>
        <v/>
      </c>
      <c r="AG81" s="132" t="str">
        <f t="shared" si="15"/>
        <v/>
      </c>
      <c r="AH81" s="132" t="str">
        <f t="shared" si="16"/>
        <v/>
      </c>
      <c r="AI81" s="125"/>
      <c r="AJ81" s="125"/>
      <c r="AK81" s="125"/>
      <c r="AL81" s="125"/>
      <c r="AM81" s="125"/>
      <c r="AN81" s="125"/>
      <c r="AO81" s="125"/>
      <c r="AP81" s="137"/>
      <c r="AQ81" s="125"/>
      <c r="AR81" s="125"/>
      <c r="AS81" s="125"/>
      <c r="AT81" s="125"/>
      <c r="AU81" s="135" t="str">
        <f t="shared" si="9"/>
        <v/>
      </c>
      <c r="AV81" s="136">
        <f t="shared" si="10"/>
        <v>0</v>
      </c>
    </row>
    <row r="82" spans="1:48" ht="26.25" customHeight="1">
      <c r="A82" s="5">
        <f>IF(AT_2015[[#This Row],[Data ]]&gt;1,1,0)</f>
        <v>0</v>
      </c>
      <c r="B82" s="6"/>
      <c r="C82" s="7"/>
      <c r="D82" s="8"/>
      <c r="E82" s="9"/>
      <c r="F82" s="193"/>
      <c r="G82" s="9"/>
      <c r="H82" s="10"/>
      <c r="I82" s="10"/>
      <c r="J82" s="9"/>
      <c r="K82" s="9"/>
      <c r="L82" s="9"/>
      <c r="M82" s="11"/>
      <c r="N82" s="74"/>
      <c r="O82" s="12"/>
      <c r="P82" s="13"/>
      <c r="Q82" s="9"/>
      <c r="R82" s="14"/>
      <c r="S82" s="13"/>
      <c r="T82" s="15"/>
      <c r="U82" s="15"/>
      <c r="V82" s="15"/>
      <c r="W82" s="15"/>
      <c r="X82" s="15"/>
      <c r="Y82" s="203">
        <f>SUM(AT_2015[[#This Row],[Mão de obra]:[Outros]])</f>
        <v>0</v>
      </c>
      <c r="Z82" s="19"/>
      <c r="AA82" s="159">
        <f>IF(AT_2015[[#This Row],[Correio]]&gt;0,1,0)</f>
        <v>0</v>
      </c>
      <c r="AB82" s="159" t="str">
        <f>IF(AT_2015[[#This Row],[Correio]]&gt;0,"sim","não")</f>
        <v>não</v>
      </c>
      <c r="AC82" s="130" t="str">
        <f t="shared" si="11"/>
        <v/>
      </c>
      <c r="AD82" s="131" t="str">
        <f t="shared" si="12"/>
        <v/>
      </c>
      <c r="AE82" s="132" t="str">
        <f t="shared" si="13"/>
        <v/>
      </c>
      <c r="AF82" s="132" t="str">
        <f t="shared" si="14"/>
        <v/>
      </c>
      <c r="AG82" s="132" t="str">
        <f t="shared" si="15"/>
        <v/>
      </c>
      <c r="AH82" s="132" t="str">
        <f t="shared" si="16"/>
        <v/>
      </c>
      <c r="AI82" s="125"/>
      <c r="AJ82" s="125"/>
      <c r="AK82" s="125"/>
      <c r="AL82" s="125"/>
      <c r="AM82" s="125"/>
      <c r="AN82" s="125"/>
      <c r="AO82" s="125"/>
      <c r="AP82" s="137"/>
      <c r="AQ82" s="125"/>
      <c r="AR82" s="125"/>
      <c r="AS82" s="125"/>
      <c r="AT82" s="125"/>
      <c r="AU82" s="135" t="str">
        <f t="shared" si="9"/>
        <v/>
      </c>
      <c r="AV82" s="136">
        <f t="shared" si="10"/>
        <v>0</v>
      </c>
    </row>
    <row r="83" spans="1:48" ht="26.25" customHeight="1">
      <c r="A83" s="5">
        <f>IF(AT_2015[[#This Row],[Data ]]&gt;1,1,0)</f>
        <v>0</v>
      </c>
      <c r="B83" s="6"/>
      <c r="C83" s="7"/>
      <c r="D83" s="8"/>
      <c r="E83" s="9"/>
      <c r="F83" s="194"/>
      <c r="G83" s="9"/>
      <c r="H83" s="10"/>
      <c r="I83" s="10"/>
      <c r="J83" s="9"/>
      <c r="K83" s="9"/>
      <c r="L83" s="9"/>
      <c r="M83" s="11"/>
      <c r="N83" s="9"/>
      <c r="O83" s="12"/>
      <c r="P83" s="13"/>
      <c r="Q83" s="9"/>
      <c r="R83" s="14"/>
      <c r="S83" s="13"/>
      <c r="T83" s="15"/>
      <c r="U83" s="15"/>
      <c r="V83" s="15"/>
      <c r="W83" s="15"/>
      <c r="X83" s="15"/>
      <c r="Y83" s="203">
        <f>SUM(AT_2015[[#This Row],[Mão de obra]:[Outros]])</f>
        <v>0</v>
      </c>
      <c r="Z83" s="19"/>
      <c r="AA83" s="159">
        <f>IF(AT_2015[[#This Row],[Correio]]&gt;0,1,0)</f>
        <v>0</v>
      </c>
      <c r="AB83" s="159" t="str">
        <f>IF(AT_2015[[#This Row],[Correio]]&gt;0,"sim","não")</f>
        <v>não</v>
      </c>
      <c r="AC83" s="130" t="str">
        <f t="shared" si="11"/>
        <v/>
      </c>
      <c r="AD83" s="131" t="str">
        <f t="shared" si="12"/>
        <v/>
      </c>
      <c r="AE83" s="132" t="str">
        <f t="shared" si="13"/>
        <v/>
      </c>
      <c r="AF83" s="132" t="str">
        <f t="shared" si="14"/>
        <v/>
      </c>
      <c r="AG83" s="132" t="str">
        <f t="shared" si="15"/>
        <v/>
      </c>
      <c r="AH83" s="132" t="str">
        <f t="shared" si="16"/>
        <v/>
      </c>
      <c r="AI83" s="125"/>
      <c r="AJ83" s="125"/>
      <c r="AK83" s="125"/>
      <c r="AL83" s="125"/>
      <c r="AM83" s="125"/>
      <c r="AN83" s="125"/>
      <c r="AO83" s="125"/>
      <c r="AP83" s="137"/>
      <c r="AQ83" s="125"/>
      <c r="AR83" s="125"/>
      <c r="AS83" s="125"/>
      <c r="AT83" s="125"/>
      <c r="AU83" s="135" t="str">
        <f t="shared" si="9"/>
        <v/>
      </c>
      <c r="AV83" s="136">
        <f t="shared" si="10"/>
        <v>0</v>
      </c>
    </row>
    <row r="84" spans="1:48" ht="26.25" customHeight="1">
      <c r="A84" s="5">
        <f>IF(AT_2015[[#This Row],[Data ]]&gt;1,1,0)</f>
        <v>0</v>
      </c>
      <c r="B84" s="6"/>
      <c r="C84" s="7"/>
      <c r="D84" s="8"/>
      <c r="E84" s="9"/>
      <c r="F84" s="194"/>
      <c r="G84" s="9"/>
      <c r="H84" s="10"/>
      <c r="I84" s="10"/>
      <c r="J84" s="9"/>
      <c r="K84" s="9"/>
      <c r="L84" s="9"/>
      <c r="M84" s="11"/>
      <c r="N84" s="9"/>
      <c r="O84" s="12"/>
      <c r="P84" s="13"/>
      <c r="Q84" s="9"/>
      <c r="R84" s="14"/>
      <c r="S84" s="13"/>
      <c r="T84" s="15"/>
      <c r="U84" s="15"/>
      <c r="V84" s="15"/>
      <c r="W84" s="15"/>
      <c r="X84" s="15"/>
      <c r="Y84" s="203">
        <f>SUM(AT_2015[[#This Row],[Mão de obra]:[Outros]])</f>
        <v>0</v>
      </c>
      <c r="Z84" s="19"/>
      <c r="AA84" s="159">
        <f>IF(AT_2015[[#This Row],[Correio]]&gt;0,1,0)</f>
        <v>0</v>
      </c>
      <c r="AB84" s="159" t="str">
        <f>IF(AT_2015[[#This Row],[Correio]]&gt;0,"sim","não")</f>
        <v>não</v>
      </c>
      <c r="AC84" s="130" t="str">
        <f t="shared" si="11"/>
        <v/>
      </c>
      <c r="AD84" s="131" t="str">
        <f t="shared" si="12"/>
        <v/>
      </c>
      <c r="AE84" s="132" t="str">
        <f t="shared" si="13"/>
        <v/>
      </c>
      <c r="AF84" s="132" t="str">
        <f t="shared" si="14"/>
        <v/>
      </c>
      <c r="AG84" s="132" t="str">
        <f t="shared" si="15"/>
        <v/>
      </c>
      <c r="AH84" s="132" t="str">
        <f t="shared" si="16"/>
        <v/>
      </c>
      <c r="AI84" s="125"/>
      <c r="AJ84" s="125"/>
      <c r="AK84" s="125"/>
      <c r="AL84" s="125"/>
      <c r="AM84" s="125"/>
      <c r="AN84" s="125"/>
      <c r="AO84" s="125"/>
      <c r="AP84" s="137"/>
      <c r="AQ84" s="125"/>
      <c r="AR84" s="125"/>
      <c r="AS84" s="125"/>
      <c r="AT84" s="125"/>
      <c r="AU84" s="135" t="str">
        <f t="shared" si="9"/>
        <v/>
      </c>
      <c r="AV84" s="136">
        <f t="shared" si="10"/>
        <v>0</v>
      </c>
    </row>
    <row r="85" spans="1:48" ht="26.25" customHeight="1">
      <c r="A85" s="5">
        <f>IF(AT_2015[[#This Row],[Data ]]&gt;1,1,0)</f>
        <v>0</v>
      </c>
      <c r="B85" s="6"/>
      <c r="C85" s="7"/>
      <c r="D85" s="8"/>
      <c r="E85" s="9"/>
      <c r="F85" s="193"/>
      <c r="G85" s="9"/>
      <c r="H85" s="10"/>
      <c r="I85" s="10"/>
      <c r="J85" s="9"/>
      <c r="K85" s="9"/>
      <c r="L85" s="9"/>
      <c r="M85" s="11"/>
      <c r="N85" s="9"/>
      <c r="O85" s="12"/>
      <c r="P85" s="13"/>
      <c r="Q85" s="9"/>
      <c r="R85" s="14"/>
      <c r="S85" s="150"/>
      <c r="T85" s="15"/>
      <c r="U85" s="15"/>
      <c r="V85" s="15"/>
      <c r="W85" s="15"/>
      <c r="X85" s="15"/>
      <c r="Y85" s="203">
        <f>SUM(AT_2015[[#This Row],[Mão de obra]:[Outros]])</f>
        <v>0</v>
      </c>
      <c r="Z85" s="19"/>
      <c r="AA85" s="159">
        <f>IF(AT_2015[[#This Row],[Correio]]&gt;0,1,0)</f>
        <v>0</v>
      </c>
      <c r="AB85" s="159" t="str">
        <f>IF(AT_2015[[#This Row],[Correio]]&gt;0,"sim","não")</f>
        <v>não</v>
      </c>
      <c r="AC85" s="130" t="str">
        <f t="shared" si="11"/>
        <v/>
      </c>
      <c r="AD85" s="131" t="str">
        <f t="shared" si="12"/>
        <v/>
      </c>
      <c r="AE85" s="132" t="str">
        <f t="shared" si="13"/>
        <v/>
      </c>
      <c r="AF85" s="132" t="str">
        <f t="shared" si="14"/>
        <v/>
      </c>
      <c r="AG85" s="132" t="str">
        <f t="shared" si="15"/>
        <v/>
      </c>
      <c r="AH85" s="132" t="str">
        <f t="shared" si="16"/>
        <v/>
      </c>
      <c r="AI85" s="125"/>
      <c r="AJ85" s="125"/>
      <c r="AK85" s="125"/>
      <c r="AL85" s="125"/>
      <c r="AM85" s="125"/>
      <c r="AN85" s="125"/>
      <c r="AO85" s="125"/>
      <c r="AP85" s="137"/>
      <c r="AQ85" s="125"/>
      <c r="AR85" s="125"/>
      <c r="AS85" s="125"/>
      <c r="AT85" s="125"/>
      <c r="AU85" s="135" t="str">
        <f t="shared" si="9"/>
        <v/>
      </c>
      <c r="AV85" s="136">
        <f t="shared" si="10"/>
        <v>0</v>
      </c>
    </row>
    <row r="86" spans="1:48" ht="26.25" customHeight="1">
      <c r="A86" s="5">
        <f>IF(AT_2015[[#This Row],[Data ]]&gt;1,1,0)</f>
        <v>0</v>
      </c>
      <c r="B86" s="6"/>
      <c r="C86" s="7"/>
      <c r="D86" s="8"/>
      <c r="E86" s="9"/>
      <c r="F86" s="193"/>
      <c r="G86" s="9"/>
      <c r="H86" s="10"/>
      <c r="I86" s="10"/>
      <c r="J86" s="9"/>
      <c r="K86" s="9"/>
      <c r="L86" s="9"/>
      <c r="M86" s="11"/>
      <c r="N86" s="9"/>
      <c r="O86" s="9"/>
      <c r="P86" s="13"/>
      <c r="Q86" s="9"/>
      <c r="R86" s="14"/>
      <c r="S86" s="13"/>
      <c r="T86" s="15"/>
      <c r="U86" s="15"/>
      <c r="V86" s="15"/>
      <c r="W86" s="15"/>
      <c r="X86" s="15"/>
      <c r="Y86" s="203">
        <f>SUM(AT_2015[[#This Row],[Mão de obra]:[Outros]])</f>
        <v>0</v>
      </c>
      <c r="Z86" s="19"/>
      <c r="AA86" s="159">
        <f>IF(AT_2015[[#This Row],[Correio]]&gt;0,1,0)</f>
        <v>0</v>
      </c>
      <c r="AB86" s="159" t="str">
        <f>IF(AT_2015[[#This Row],[Correio]]&gt;0,"sim","não")</f>
        <v>não</v>
      </c>
      <c r="AC86" s="130" t="str">
        <f t="shared" si="11"/>
        <v/>
      </c>
      <c r="AD86" s="131" t="str">
        <f t="shared" si="12"/>
        <v/>
      </c>
      <c r="AE86" s="132" t="str">
        <f t="shared" si="13"/>
        <v/>
      </c>
      <c r="AF86" s="132" t="str">
        <f t="shared" si="14"/>
        <v/>
      </c>
      <c r="AG86" s="132" t="str">
        <f t="shared" si="15"/>
        <v/>
      </c>
      <c r="AH86" s="132" t="str">
        <f t="shared" si="16"/>
        <v/>
      </c>
      <c r="AI86" s="125"/>
      <c r="AJ86" s="125"/>
      <c r="AK86" s="125"/>
      <c r="AL86" s="125"/>
      <c r="AM86" s="125"/>
      <c r="AN86" s="125"/>
      <c r="AO86" s="125"/>
      <c r="AP86" s="137"/>
      <c r="AQ86" s="125"/>
      <c r="AR86" s="125"/>
      <c r="AS86" s="125"/>
      <c r="AT86" s="125"/>
      <c r="AU86" s="135" t="str">
        <f t="shared" si="9"/>
        <v/>
      </c>
      <c r="AV86" s="136">
        <f t="shared" si="10"/>
        <v>0</v>
      </c>
    </row>
    <row r="87" spans="1:48" ht="26.25" customHeight="1">
      <c r="A87" s="5">
        <f>IF(AT_2015[[#This Row],[Data ]]&gt;1,1,0)</f>
        <v>0</v>
      </c>
      <c r="B87" s="6"/>
      <c r="C87" s="7"/>
      <c r="D87" s="8"/>
      <c r="E87" s="9"/>
      <c r="F87" s="193"/>
      <c r="G87" s="9"/>
      <c r="H87" s="10"/>
      <c r="I87" s="10"/>
      <c r="J87" s="9"/>
      <c r="K87" s="9"/>
      <c r="L87" s="9"/>
      <c r="M87" s="11"/>
      <c r="N87" s="9"/>
      <c r="O87" s="12"/>
      <c r="P87" s="13"/>
      <c r="Q87" s="9"/>
      <c r="R87" s="14"/>
      <c r="S87" s="13"/>
      <c r="T87" s="15"/>
      <c r="U87" s="15"/>
      <c r="V87" s="15"/>
      <c r="W87" s="15"/>
      <c r="X87" s="15"/>
      <c r="Y87" s="203">
        <f>SUM(AT_2015[[#This Row],[Mão de obra]:[Outros]])</f>
        <v>0</v>
      </c>
      <c r="Z87" s="19"/>
      <c r="AA87" s="159">
        <f>IF(AT_2015[[#This Row],[Correio]]&gt;0,1,0)</f>
        <v>0</v>
      </c>
      <c r="AB87" s="159" t="str">
        <f>IF(AT_2015[[#This Row],[Correio]]&gt;0,"sim","não")</f>
        <v>não</v>
      </c>
      <c r="AC87" s="130" t="str">
        <f t="shared" si="11"/>
        <v/>
      </c>
      <c r="AD87" s="131" t="str">
        <f t="shared" si="12"/>
        <v/>
      </c>
      <c r="AE87" s="132" t="str">
        <f t="shared" si="13"/>
        <v/>
      </c>
      <c r="AF87" s="132" t="str">
        <f t="shared" si="14"/>
        <v/>
      </c>
      <c r="AG87" s="132" t="str">
        <f t="shared" si="15"/>
        <v/>
      </c>
      <c r="AH87" s="132" t="str">
        <f t="shared" si="16"/>
        <v/>
      </c>
      <c r="AI87" s="125"/>
      <c r="AJ87" s="125"/>
      <c r="AK87" s="125"/>
      <c r="AL87" s="125"/>
      <c r="AM87" s="125"/>
      <c r="AN87" s="125"/>
      <c r="AO87" s="125"/>
      <c r="AP87" s="137"/>
      <c r="AQ87" s="125"/>
      <c r="AR87" s="125"/>
      <c r="AS87" s="125"/>
      <c r="AT87" s="125"/>
      <c r="AU87" s="135" t="str">
        <f t="shared" si="9"/>
        <v/>
      </c>
      <c r="AV87" s="136">
        <f t="shared" si="10"/>
        <v>0</v>
      </c>
    </row>
    <row r="88" spans="1:48" ht="26.25" customHeight="1">
      <c r="A88" s="5">
        <f>IF(AT_2015[[#This Row],[Data ]]&gt;1,1,0)</f>
        <v>0</v>
      </c>
      <c r="B88" s="6"/>
      <c r="C88" s="7"/>
      <c r="D88" s="8"/>
      <c r="E88" s="9"/>
      <c r="F88" s="193"/>
      <c r="G88" s="9"/>
      <c r="H88" s="10"/>
      <c r="I88" s="10"/>
      <c r="J88" s="9"/>
      <c r="K88" s="9"/>
      <c r="L88" s="9"/>
      <c r="M88" s="11"/>
      <c r="N88" s="9"/>
      <c r="O88" s="12"/>
      <c r="P88" s="13"/>
      <c r="Q88" s="9"/>
      <c r="R88" s="14"/>
      <c r="S88" s="13"/>
      <c r="T88" s="15"/>
      <c r="U88" s="15"/>
      <c r="V88" s="15"/>
      <c r="W88" s="15"/>
      <c r="X88" s="15"/>
      <c r="Y88" s="203">
        <f>SUM(AT_2015[[#This Row],[Mão de obra]:[Outros]])</f>
        <v>0</v>
      </c>
      <c r="Z88" s="19"/>
      <c r="AA88" s="159">
        <f>IF(AT_2015[[#This Row],[Correio]]&gt;0,1,0)</f>
        <v>0</v>
      </c>
      <c r="AB88" s="159" t="str">
        <f>IF(AT_2015[[#This Row],[Correio]]&gt;0,"sim","não")</f>
        <v>não</v>
      </c>
      <c r="AC88" s="130" t="str">
        <f t="shared" si="11"/>
        <v/>
      </c>
      <c r="AD88" s="131" t="str">
        <f t="shared" si="12"/>
        <v/>
      </c>
      <c r="AE88" s="132" t="str">
        <f t="shared" si="13"/>
        <v/>
      </c>
      <c r="AF88" s="132" t="str">
        <f t="shared" si="14"/>
        <v/>
      </c>
      <c r="AG88" s="132" t="str">
        <f t="shared" si="15"/>
        <v/>
      </c>
      <c r="AH88" s="132" t="str">
        <f t="shared" si="16"/>
        <v/>
      </c>
      <c r="AI88" s="125"/>
      <c r="AJ88" s="125"/>
      <c r="AK88" s="125"/>
      <c r="AL88" s="125"/>
      <c r="AM88" s="125"/>
      <c r="AN88" s="125"/>
      <c r="AO88" s="125"/>
      <c r="AP88" s="137"/>
      <c r="AQ88" s="125"/>
      <c r="AR88" s="125"/>
      <c r="AS88" s="125"/>
      <c r="AT88" s="125"/>
      <c r="AU88" s="135" t="str">
        <f t="shared" si="9"/>
        <v/>
      </c>
      <c r="AV88" s="136">
        <f t="shared" si="10"/>
        <v>0</v>
      </c>
    </row>
    <row r="89" spans="1:48" ht="26.25" customHeight="1">
      <c r="A89" s="5">
        <f>IF(AT_2015[[#This Row],[Data ]]&gt;1,1,0)</f>
        <v>0</v>
      </c>
      <c r="B89" s="6"/>
      <c r="C89" s="7"/>
      <c r="D89" s="8"/>
      <c r="E89" s="9"/>
      <c r="F89" s="194"/>
      <c r="G89" s="9"/>
      <c r="H89" s="10"/>
      <c r="I89" s="10"/>
      <c r="J89" s="9"/>
      <c r="K89" s="9"/>
      <c r="L89" s="9"/>
      <c r="M89" s="11"/>
      <c r="N89" s="9"/>
      <c r="O89" s="12"/>
      <c r="P89" s="13"/>
      <c r="Q89" s="9"/>
      <c r="R89" s="14"/>
      <c r="S89" s="13"/>
      <c r="T89" s="15"/>
      <c r="U89" s="15"/>
      <c r="V89" s="15"/>
      <c r="W89" s="15"/>
      <c r="X89" s="15"/>
      <c r="Y89" s="203">
        <f>SUM(AT_2015[[#This Row],[Mão de obra]:[Outros]])</f>
        <v>0</v>
      </c>
      <c r="Z89" s="19"/>
      <c r="AA89" s="159">
        <f>IF(AT_2015[[#This Row],[Correio]]&gt;0,1,0)</f>
        <v>0</v>
      </c>
      <c r="AB89" s="159" t="str">
        <f>IF(AT_2015[[#This Row],[Correio]]&gt;0,"sim","não")</f>
        <v>não</v>
      </c>
      <c r="AC89" s="130" t="str">
        <f t="shared" si="11"/>
        <v/>
      </c>
      <c r="AD89" s="131" t="str">
        <f t="shared" si="12"/>
        <v/>
      </c>
      <c r="AE89" s="132" t="str">
        <f t="shared" si="13"/>
        <v/>
      </c>
      <c r="AF89" s="132" t="str">
        <f t="shared" si="14"/>
        <v/>
      </c>
      <c r="AG89" s="132" t="str">
        <f t="shared" si="15"/>
        <v/>
      </c>
      <c r="AH89" s="132" t="str">
        <f t="shared" si="16"/>
        <v/>
      </c>
      <c r="AI89" s="125"/>
      <c r="AJ89" s="125"/>
      <c r="AK89" s="125"/>
      <c r="AL89" s="125"/>
      <c r="AM89" s="125"/>
      <c r="AN89" s="125"/>
      <c r="AO89" s="125"/>
      <c r="AP89" s="137"/>
      <c r="AQ89" s="125"/>
      <c r="AR89" s="125"/>
      <c r="AS89" s="125"/>
      <c r="AT89" s="125"/>
      <c r="AU89" s="135" t="str">
        <f t="shared" si="9"/>
        <v/>
      </c>
      <c r="AV89" s="136">
        <f t="shared" si="10"/>
        <v>0</v>
      </c>
    </row>
    <row r="90" spans="1:48" ht="26.25" customHeight="1">
      <c r="A90" s="5">
        <f>IF(AT_2015[[#This Row],[Data ]]&gt;1,1,0)</f>
        <v>0</v>
      </c>
      <c r="B90" s="6"/>
      <c r="C90" s="7"/>
      <c r="D90" s="8"/>
      <c r="E90" s="9"/>
      <c r="F90" s="193"/>
      <c r="G90" s="9"/>
      <c r="H90" s="10"/>
      <c r="I90" s="10"/>
      <c r="J90" s="9"/>
      <c r="K90" s="9"/>
      <c r="L90" s="9"/>
      <c r="M90" s="11"/>
      <c r="N90" s="9"/>
      <c r="O90" s="12"/>
      <c r="P90" s="13"/>
      <c r="Q90" s="9"/>
      <c r="R90" s="14"/>
      <c r="S90" s="13"/>
      <c r="T90" s="15"/>
      <c r="U90" s="15"/>
      <c r="V90" s="15"/>
      <c r="W90" s="15"/>
      <c r="X90" s="15"/>
      <c r="Y90" s="203">
        <f>SUM(AT_2015[[#This Row],[Mão de obra]:[Outros]])</f>
        <v>0</v>
      </c>
      <c r="Z90" s="19"/>
      <c r="AA90" s="159">
        <f>IF(AT_2015[[#This Row],[Correio]]&gt;0,1,0)</f>
        <v>0</v>
      </c>
      <c r="AB90" s="159" t="str">
        <f>IF(AT_2015[[#This Row],[Correio]]&gt;0,"sim","não")</f>
        <v>não</v>
      </c>
      <c r="AC90" s="130" t="str">
        <f t="shared" si="11"/>
        <v/>
      </c>
      <c r="AD90" s="131" t="str">
        <f t="shared" si="12"/>
        <v/>
      </c>
      <c r="AE90" s="132" t="str">
        <f t="shared" si="13"/>
        <v/>
      </c>
      <c r="AF90" s="132" t="str">
        <f t="shared" si="14"/>
        <v/>
      </c>
      <c r="AG90" s="132" t="str">
        <f t="shared" si="15"/>
        <v/>
      </c>
      <c r="AH90" s="132" t="str">
        <f t="shared" si="16"/>
        <v/>
      </c>
      <c r="AI90" s="125"/>
      <c r="AJ90" s="125"/>
      <c r="AK90" s="125"/>
      <c r="AL90" s="125"/>
      <c r="AM90" s="125"/>
      <c r="AN90" s="125"/>
      <c r="AO90" s="125"/>
      <c r="AP90" s="137"/>
      <c r="AQ90" s="125"/>
      <c r="AR90" s="125"/>
      <c r="AS90" s="125"/>
      <c r="AT90" s="125"/>
      <c r="AU90" s="135" t="str">
        <f t="shared" si="9"/>
        <v/>
      </c>
      <c r="AV90" s="136">
        <f t="shared" si="10"/>
        <v>0</v>
      </c>
    </row>
    <row r="91" spans="1:48" ht="26.25" customHeight="1">
      <c r="A91" s="5">
        <f>IF(AT_2015[[#This Row],[Data ]]&gt;1,1,0)</f>
        <v>0</v>
      </c>
      <c r="B91" s="6"/>
      <c r="C91" s="7"/>
      <c r="D91" s="8"/>
      <c r="E91" s="9"/>
      <c r="F91" s="193"/>
      <c r="G91" s="9"/>
      <c r="H91" s="10"/>
      <c r="I91" s="10"/>
      <c r="J91" s="9"/>
      <c r="K91" s="9"/>
      <c r="L91" s="9"/>
      <c r="M91" s="11"/>
      <c r="N91" s="9"/>
      <c r="O91" s="12"/>
      <c r="P91" s="13"/>
      <c r="Q91" s="9"/>
      <c r="R91" s="14"/>
      <c r="S91" s="13"/>
      <c r="T91" s="15"/>
      <c r="U91" s="15"/>
      <c r="V91" s="15"/>
      <c r="W91" s="15"/>
      <c r="X91" s="15"/>
      <c r="Y91" s="203">
        <f>SUM(AT_2015[[#This Row],[Mão de obra]:[Outros]])</f>
        <v>0</v>
      </c>
      <c r="Z91" s="19"/>
      <c r="AA91" s="159">
        <f>IF(AT_2015[[#This Row],[Correio]]&gt;0,1,0)</f>
        <v>0</v>
      </c>
      <c r="AB91" s="159" t="str">
        <f>IF(AT_2015[[#This Row],[Correio]]&gt;0,"sim","não")</f>
        <v>não</v>
      </c>
      <c r="AC91" s="130" t="str">
        <f t="shared" si="11"/>
        <v/>
      </c>
      <c r="AD91" s="131" t="str">
        <f t="shared" si="12"/>
        <v/>
      </c>
      <c r="AE91" s="132" t="str">
        <f t="shared" si="13"/>
        <v/>
      </c>
      <c r="AF91" s="132" t="str">
        <f t="shared" si="14"/>
        <v/>
      </c>
      <c r="AG91" s="132" t="str">
        <f t="shared" si="15"/>
        <v/>
      </c>
      <c r="AH91" s="132" t="str">
        <f t="shared" si="16"/>
        <v/>
      </c>
      <c r="AI91" s="125"/>
      <c r="AJ91" s="125"/>
      <c r="AK91" s="125"/>
      <c r="AL91" s="125"/>
      <c r="AM91" s="125"/>
      <c r="AN91" s="125"/>
      <c r="AO91" s="125"/>
      <c r="AP91" s="137"/>
      <c r="AQ91" s="125"/>
      <c r="AR91" s="125"/>
      <c r="AS91" s="125"/>
      <c r="AT91" s="125"/>
      <c r="AU91" s="135" t="str">
        <f t="shared" si="9"/>
        <v/>
      </c>
      <c r="AV91" s="136">
        <f t="shared" si="10"/>
        <v>0</v>
      </c>
    </row>
    <row r="92" spans="1:48" ht="26.25" customHeight="1">
      <c r="A92" s="5">
        <f>IF(AT_2015[[#This Row],[Data ]]&gt;1,1,0)</f>
        <v>0</v>
      </c>
      <c r="B92" s="6"/>
      <c r="C92" s="7"/>
      <c r="D92" s="8"/>
      <c r="E92" s="9"/>
      <c r="F92" s="193"/>
      <c r="G92" s="9"/>
      <c r="H92" s="10"/>
      <c r="I92" s="10"/>
      <c r="J92" s="9"/>
      <c r="K92" s="9"/>
      <c r="L92" s="9"/>
      <c r="M92" s="11"/>
      <c r="N92" s="9"/>
      <c r="O92" s="12"/>
      <c r="P92" s="13"/>
      <c r="Q92" s="9"/>
      <c r="R92" s="14"/>
      <c r="S92" s="13"/>
      <c r="T92" s="15"/>
      <c r="U92" s="15"/>
      <c r="V92" s="15"/>
      <c r="W92" s="15"/>
      <c r="X92" s="15"/>
      <c r="Y92" s="203">
        <f>SUM(AT_2015[[#This Row],[Mão de obra]:[Outros]])</f>
        <v>0</v>
      </c>
      <c r="Z92" s="19"/>
      <c r="AA92" s="159">
        <f>IF(AT_2015[[#This Row],[Correio]]&gt;0,1,0)</f>
        <v>0</v>
      </c>
      <c r="AB92" s="159" t="str">
        <f>IF(AT_2015[[#This Row],[Correio]]&gt;0,"sim","não")</f>
        <v>não</v>
      </c>
      <c r="AC92" s="130" t="str">
        <f t="shared" si="11"/>
        <v/>
      </c>
      <c r="AD92" s="131" t="str">
        <f t="shared" si="12"/>
        <v/>
      </c>
      <c r="AE92" s="132" t="str">
        <f t="shared" si="13"/>
        <v/>
      </c>
      <c r="AF92" s="132" t="str">
        <f t="shared" si="14"/>
        <v/>
      </c>
      <c r="AG92" s="132" t="str">
        <f t="shared" si="15"/>
        <v/>
      </c>
      <c r="AH92" s="132" t="str">
        <f t="shared" si="16"/>
        <v/>
      </c>
      <c r="AI92" s="125"/>
      <c r="AJ92" s="125"/>
      <c r="AK92" s="125"/>
      <c r="AL92" s="125"/>
      <c r="AM92" s="125"/>
      <c r="AN92" s="125"/>
      <c r="AO92" s="125"/>
      <c r="AP92" s="137"/>
      <c r="AQ92" s="125"/>
      <c r="AR92" s="125"/>
      <c r="AS92" s="125"/>
      <c r="AT92" s="125"/>
      <c r="AU92" s="135" t="str">
        <f t="shared" si="9"/>
        <v/>
      </c>
      <c r="AV92" s="136">
        <f t="shared" si="10"/>
        <v>0</v>
      </c>
    </row>
    <row r="93" spans="1:48" ht="26.25" customHeight="1">
      <c r="A93" s="5">
        <f>IF(AT_2015[[#This Row],[Data ]]&gt;1,1,0)</f>
        <v>0</v>
      </c>
      <c r="B93" s="6"/>
      <c r="C93" s="7"/>
      <c r="D93" s="8"/>
      <c r="E93" s="9"/>
      <c r="F93" s="193"/>
      <c r="G93" s="9"/>
      <c r="H93" s="10"/>
      <c r="I93" s="10"/>
      <c r="J93" s="9"/>
      <c r="K93" s="9"/>
      <c r="L93" s="9"/>
      <c r="M93" s="11"/>
      <c r="N93" s="9"/>
      <c r="O93" s="12"/>
      <c r="P93" s="13"/>
      <c r="Q93" s="9"/>
      <c r="R93" s="14"/>
      <c r="S93" s="13"/>
      <c r="T93" s="15"/>
      <c r="U93" s="15"/>
      <c r="V93" s="15"/>
      <c r="W93" s="15"/>
      <c r="X93" s="15"/>
      <c r="Y93" s="203">
        <f>SUM(AT_2015[[#This Row],[Mão de obra]:[Outros]])</f>
        <v>0</v>
      </c>
      <c r="Z93" s="19"/>
      <c r="AA93" s="159">
        <f>IF(AT_2015[[#This Row],[Correio]]&gt;0,1,0)</f>
        <v>0</v>
      </c>
      <c r="AB93" s="159" t="str">
        <f>IF(AT_2015[[#This Row],[Correio]]&gt;0,"sim","não")</f>
        <v>não</v>
      </c>
      <c r="AC93" s="130" t="str">
        <f t="shared" si="11"/>
        <v/>
      </c>
      <c r="AD93" s="131" t="str">
        <f t="shared" si="12"/>
        <v/>
      </c>
      <c r="AE93" s="132" t="str">
        <f t="shared" si="13"/>
        <v/>
      </c>
      <c r="AF93" s="132" t="str">
        <f t="shared" si="14"/>
        <v/>
      </c>
      <c r="AG93" s="132" t="str">
        <f t="shared" si="15"/>
        <v/>
      </c>
      <c r="AH93" s="132" t="str">
        <f t="shared" si="16"/>
        <v/>
      </c>
      <c r="AI93" s="125"/>
      <c r="AJ93" s="125"/>
      <c r="AK93" s="125"/>
      <c r="AL93" s="125"/>
      <c r="AM93" s="125"/>
      <c r="AN93" s="125"/>
      <c r="AO93" s="125"/>
      <c r="AP93" s="137"/>
      <c r="AQ93" s="125"/>
      <c r="AR93" s="125"/>
      <c r="AS93" s="125"/>
      <c r="AT93" s="125"/>
      <c r="AU93" s="135" t="str">
        <f t="shared" si="9"/>
        <v/>
      </c>
      <c r="AV93" s="136">
        <f t="shared" si="10"/>
        <v>0</v>
      </c>
    </row>
    <row r="94" spans="1:48" ht="26.25" customHeight="1">
      <c r="A94" s="5">
        <f>IF(AT_2015[[#This Row],[Data ]]&gt;1,1,0)</f>
        <v>0</v>
      </c>
      <c r="B94" s="6"/>
      <c r="C94" s="7"/>
      <c r="D94" s="8"/>
      <c r="E94" s="9"/>
      <c r="F94" s="194"/>
      <c r="G94" s="9"/>
      <c r="H94" s="10"/>
      <c r="I94" s="10"/>
      <c r="J94" s="9"/>
      <c r="K94" s="9"/>
      <c r="L94" s="9"/>
      <c r="M94" s="11"/>
      <c r="N94" s="9"/>
      <c r="O94" s="12"/>
      <c r="P94" s="13"/>
      <c r="Q94" s="9"/>
      <c r="R94" s="14"/>
      <c r="S94" s="13"/>
      <c r="T94" s="15"/>
      <c r="U94" s="15"/>
      <c r="V94" s="15"/>
      <c r="W94" s="15"/>
      <c r="X94" s="15"/>
      <c r="Y94" s="203">
        <f>SUM(AT_2015[[#This Row],[Mão de obra]:[Outros]])</f>
        <v>0</v>
      </c>
      <c r="Z94" s="19"/>
      <c r="AA94" s="159">
        <f>IF(AT_2015[[#This Row],[Correio]]&gt;0,1,0)</f>
        <v>0</v>
      </c>
      <c r="AB94" s="159" t="str">
        <f>IF(AT_2015[[#This Row],[Correio]]&gt;0,"sim","não")</f>
        <v>não</v>
      </c>
      <c r="AC94" s="130" t="str">
        <f t="shared" si="11"/>
        <v/>
      </c>
      <c r="AD94" s="131" t="str">
        <f t="shared" si="12"/>
        <v/>
      </c>
      <c r="AE94" s="132" t="str">
        <f t="shared" si="13"/>
        <v/>
      </c>
      <c r="AF94" s="132" t="str">
        <f t="shared" si="14"/>
        <v/>
      </c>
      <c r="AG94" s="132" t="str">
        <f t="shared" si="15"/>
        <v/>
      </c>
      <c r="AH94" s="132" t="str">
        <f t="shared" si="16"/>
        <v/>
      </c>
      <c r="AI94" s="125"/>
      <c r="AJ94" s="125"/>
      <c r="AK94" s="125"/>
      <c r="AL94" s="125"/>
      <c r="AM94" s="125"/>
      <c r="AN94" s="125"/>
      <c r="AO94" s="125"/>
      <c r="AP94" s="137"/>
      <c r="AQ94" s="125"/>
      <c r="AR94" s="125"/>
      <c r="AS94" s="125"/>
      <c r="AT94" s="125"/>
      <c r="AU94" s="135" t="str">
        <f>IF(B94="","",TEXT(B94,"MMAAAA")&amp;M94&amp;K94)</f>
        <v/>
      </c>
      <c r="AV94" s="136">
        <f>SUM(T94:X94)</f>
        <v>0</v>
      </c>
    </row>
    <row r="95" spans="1:48" ht="26.25" customHeight="1">
      <c r="A95" s="5">
        <f>IF(AT_2015[[#This Row],[Data ]]&gt;1,1,0)</f>
        <v>0</v>
      </c>
      <c r="B95" s="6"/>
      <c r="C95" s="7"/>
      <c r="D95" s="8"/>
      <c r="E95" s="9"/>
      <c r="F95" s="194"/>
      <c r="G95" s="9"/>
      <c r="H95" s="10"/>
      <c r="I95" s="10"/>
      <c r="J95" s="9"/>
      <c r="K95" s="9"/>
      <c r="L95" s="9"/>
      <c r="M95" s="11"/>
      <c r="N95" s="9"/>
      <c r="O95" s="12"/>
      <c r="P95" s="13"/>
      <c r="Q95" s="9"/>
      <c r="R95" s="14"/>
      <c r="S95" s="13"/>
      <c r="T95" s="15"/>
      <c r="U95" s="15"/>
      <c r="V95" s="15"/>
      <c r="W95" s="15"/>
      <c r="X95" s="15"/>
      <c r="Y95" s="203">
        <f>SUM(AT_2015[[#This Row],[Mão de obra]:[Outros]])</f>
        <v>0</v>
      </c>
      <c r="Z95" s="19"/>
      <c r="AA95" s="159">
        <f>IF(AT_2015[[#This Row],[Correio]]&gt;0,1,0)</f>
        <v>0</v>
      </c>
      <c r="AB95" s="159" t="str">
        <f>IF(AT_2015[[#This Row],[Correio]]&gt;0,"sim","não")</f>
        <v>não</v>
      </c>
      <c r="AC95" s="130" t="str">
        <f t="shared" si="11"/>
        <v/>
      </c>
      <c r="AD95" s="131" t="str">
        <f t="shared" si="12"/>
        <v/>
      </c>
      <c r="AE95" s="132" t="str">
        <f t="shared" si="13"/>
        <v/>
      </c>
      <c r="AF95" s="132" t="str">
        <f t="shared" si="14"/>
        <v/>
      </c>
      <c r="AG95" s="132" t="str">
        <f t="shared" si="15"/>
        <v/>
      </c>
      <c r="AH95" s="132" t="str">
        <f t="shared" si="16"/>
        <v/>
      </c>
      <c r="AI95" s="125"/>
      <c r="AJ95" s="125"/>
      <c r="AK95" s="125"/>
      <c r="AL95" s="125"/>
      <c r="AM95" s="125"/>
      <c r="AN95" s="125"/>
      <c r="AO95" s="125"/>
      <c r="AP95" s="137"/>
      <c r="AQ95" s="125"/>
      <c r="AR95" s="125"/>
      <c r="AS95" s="125"/>
      <c r="AT95" s="125"/>
      <c r="AU95" s="135" t="str">
        <f>IF(B95="","",TEXT(B95,"MMAAAA")&amp;M95&amp;K95)</f>
        <v/>
      </c>
      <c r="AV95" s="136">
        <f>SUM(T95:X95)</f>
        <v>0</v>
      </c>
    </row>
    <row r="96" spans="1:48" ht="26.25" customHeight="1">
      <c r="A96" s="5">
        <f>IF(AT_2015[[#This Row],[Data ]]&gt;1,1,0)</f>
        <v>0</v>
      </c>
      <c r="B96" s="6"/>
      <c r="C96" s="7"/>
      <c r="D96" s="8"/>
      <c r="E96" s="9"/>
      <c r="F96" s="193"/>
      <c r="G96" s="9"/>
      <c r="H96" s="10"/>
      <c r="I96" s="10"/>
      <c r="J96" s="9"/>
      <c r="K96" s="9"/>
      <c r="L96" s="9"/>
      <c r="M96" s="11"/>
      <c r="N96" s="9"/>
      <c r="O96" s="12"/>
      <c r="P96" s="13"/>
      <c r="Q96" s="9"/>
      <c r="R96" s="14"/>
      <c r="S96" s="13"/>
      <c r="T96" s="15"/>
      <c r="U96" s="15"/>
      <c r="V96" s="15"/>
      <c r="W96" s="15"/>
      <c r="X96" s="15"/>
      <c r="Y96" s="203">
        <f>SUM(AT_2015[[#This Row],[Mão de obra]:[Outros]])</f>
        <v>0</v>
      </c>
      <c r="Z96" s="19"/>
      <c r="AA96" s="159">
        <f>IF(AT_2015[[#This Row],[Correio]]&gt;0,1,0)</f>
        <v>0</v>
      </c>
      <c r="AB96" s="159" t="str">
        <f>IF(AT_2015[[#This Row],[Correio]]&gt;0,"sim","não")</f>
        <v>não</v>
      </c>
      <c r="AC96" s="130" t="str">
        <f t="shared" si="11"/>
        <v/>
      </c>
      <c r="AD96" s="131" t="str">
        <f t="shared" si="12"/>
        <v/>
      </c>
      <c r="AE96" s="132" t="str">
        <f t="shared" si="13"/>
        <v/>
      </c>
      <c r="AF96" s="132" t="str">
        <f t="shared" si="14"/>
        <v/>
      </c>
      <c r="AG96" s="132" t="str">
        <f t="shared" si="15"/>
        <v/>
      </c>
      <c r="AH96" s="132" t="str">
        <f t="shared" si="16"/>
        <v/>
      </c>
      <c r="AI96" s="125"/>
      <c r="AJ96" s="125"/>
      <c r="AK96" s="125"/>
      <c r="AL96" s="125"/>
      <c r="AM96" s="125"/>
      <c r="AN96" s="125"/>
      <c r="AO96" s="125"/>
      <c r="AP96" s="137"/>
      <c r="AQ96" s="125"/>
      <c r="AR96" s="125"/>
      <c r="AS96" s="125"/>
      <c r="AT96" s="125"/>
      <c r="AU96" s="135" t="str">
        <f t="shared" si="9"/>
        <v/>
      </c>
      <c r="AV96" s="136">
        <f t="shared" si="10"/>
        <v>0</v>
      </c>
    </row>
    <row r="97" spans="1:48" ht="26.25" customHeight="1">
      <c r="A97" s="5">
        <f>IF(AT_2015[[#This Row],[Data ]]&gt;1,1,0)</f>
        <v>0</v>
      </c>
      <c r="B97" s="6"/>
      <c r="C97" s="7"/>
      <c r="D97" s="8"/>
      <c r="E97" s="9"/>
      <c r="F97" s="193"/>
      <c r="G97" s="9"/>
      <c r="H97" s="10"/>
      <c r="I97" s="10"/>
      <c r="J97" s="9"/>
      <c r="K97" s="9"/>
      <c r="L97" s="9"/>
      <c r="M97" s="11"/>
      <c r="N97" s="9"/>
      <c r="O97" s="12"/>
      <c r="P97" s="13"/>
      <c r="Q97" s="9"/>
      <c r="R97" s="14"/>
      <c r="S97" s="13"/>
      <c r="T97" s="15"/>
      <c r="U97" s="15"/>
      <c r="V97" s="15"/>
      <c r="W97" s="15"/>
      <c r="X97" s="15"/>
      <c r="Y97" s="203">
        <f>SUM(AT_2015[[#This Row],[Mão de obra]:[Outros]])</f>
        <v>0</v>
      </c>
      <c r="Z97" s="19"/>
      <c r="AA97" s="159">
        <f>IF(AT_2015[[#This Row],[Correio]]&gt;0,1,0)</f>
        <v>0</v>
      </c>
      <c r="AB97" s="159" t="str">
        <f>IF(AT_2015[[#This Row],[Correio]]&gt;0,"sim","não")</f>
        <v>não</v>
      </c>
      <c r="AC97" s="130" t="str">
        <f t="shared" si="11"/>
        <v/>
      </c>
      <c r="AD97" s="131" t="str">
        <f t="shared" si="12"/>
        <v/>
      </c>
      <c r="AE97" s="132" t="str">
        <f t="shared" si="13"/>
        <v/>
      </c>
      <c r="AF97" s="132" t="str">
        <f t="shared" si="14"/>
        <v/>
      </c>
      <c r="AG97" s="132" t="str">
        <f t="shared" si="15"/>
        <v/>
      </c>
      <c r="AH97" s="132" t="str">
        <f t="shared" si="16"/>
        <v/>
      </c>
      <c r="AI97" s="125"/>
      <c r="AJ97" s="125"/>
      <c r="AK97" s="125"/>
      <c r="AL97" s="125"/>
      <c r="AM97" s="125"/>
      <c r="AN97" s="125"/>
      <c r="AO97" s="125"/>
      <c r="AP97" s="137"/>
      <c r="AQ97" s="125"/>
      <c r="AR97" s="125"/>
      <c r="AS97" s="125"/>
      <c r="AT97" s="125"/>
      <c r="AU97" s="135" t="str">
        <f t="shared" si="9"/>
        <v/>
      </c>
      <c r="AV97" s="136">
        <f t="shared" si="10"/>
        <v>0</v>
      </c>
    </row>
    <row r="98" spans="1:48" ht="26.25" customHeight="1">
      <c r="A98" s="5">
        <f>IF(AT_2015[[#This Row],[Data ]]&gt;1,1,0)</f>
        <v>0</v>
      </c>
      <c r="B98" s="6"/>
      <c r="C98" s="7"/>
      <c r="D98" s="8"/>
      <c r="E98" s="9"/>
      <c r="F98" s="194"/>
      <c r="G98" s="9"/>
      <c r="H98" s="10"/>
      <c r="I98" s="10"/>
      <c r="J98" s="9"/>
      <c r="K98" s="9"/>
      <c r="L98" s="9"/>
      <c r="M98" s="11"/>
      <c r="N98" s="9"/>
      <c r="O98" s="12"/>
      <c r="P98" s="13"/>
      <c r="Q98" s="9"/>
      <c r="R98" s="14"/>
      <c r="S98" s="13"/>
      <c r="T98" s="15"/>
      <c r="U98" s="15"/>
      <c r="V98" s="15"/>
      <c r="W98" s="15"/>
      <c r="X98" s="15"/>
      <c r="Y98" s="203">
        <f>SUM(AT_2015[[#This Row],[Mão de obra]:[Outros]])</f>
        <v>0</v>
      </c>
      <c r="Z98" s="19"/>
      <c r="AA98" s="159">
        <f>IF(AT_2015[[#This Row],[Correio]]&gt;0,1,0)</f>
        <v>0</v>
      </c>
      <c r="AB98" s="159" t="str">
        <f>IF(AT_2015[[#This Row],[Correio]]&gt;0,"sim","não")</f>
        <v>não</v>
      </c>
      <c r="AC98" s="130" t="str">
        <f t="shared" si="11"/>
        <v/>
      </c>
      <c r="AD98" s="131" t="str">
        <f t="shared" si="12"/>
        <v/>
      </c>
      <c r="AE98" s="132" t="str">
        <f t="shared" si="13"/>
        <v/>
      </c>
      <c r="AF98" s="132" t="str">
        <f t="shared" si="14"/>
        <v/>
      </c>
      <c r="AG98" s="132" t="str">
        <f t="shared" si="15"/>
        <v/>
      </c>
      <c r="AH98" s="132" t="str">
        <f t="shared" si="16"/>
        <v/>
      </c>
      <c r="AI98" s="125"/>
      <c r="AJ98" s="125"/>
      <c r="AK98" s="125"/>
      <c r="AL98" s="125"/>
      <c r="AM98" s="125"/>
      <c r="AN98" s="125"/>
      <c r="AO98" s="125"/>
      <c r="AP98" s="137"/>
      <c r="AQ98" s="125"/>
      <c r="AR98" s="125"/>
      <c r="AS98" s="125"/>
      <c r="AT98" s="125"/>
      <c r="AU98" s="135" t="str">
        <f t="shared" si="9"/>
        <v/>
      </c>
      <c r="AV98" s="136">
        <f t="shared" si="10"/>
        <v>0</v>
      </c>
    </row>
    <row r="99" spans="1:48" ht="26.25" customHeight="1">
      <c r="A99" s="5">
        <f>IF(AT_2015[[#This Row],[Data ]]&gt;1,1,0)</f>
        <v>0</v>
      </c>
      <c r="B99" s="6"/>
      <c r="C99" s="7"/>
      <c r="D99" s="8"/>
      <c r="E99" s="9"/>
      <c r="F99" s="194"/>
      <c r="G99" s="9"/>
      <c r="H99" s="10"/>
      <c r="I99" s="10"/>
      <c r="J99" s="9"/>
      <c r="K99" s="9"/>
      <c r="L99" s="9"/>
      <c r="M99" s="11"/>
      <c r="N99" s="9"/>
      <c r="O99" s="12"/>
      <c r="P99" s="13"/>
      <c r="Q99" s="9"/>
      <c r="R99" s="14"/>
      <c r="S99" s="13"/>
      <c r="T99" s="15"/>
      <c r="U99" s="15"/>
      <c r="V99" s="15"/>
      <c r="W99" s="15"/>
      <c r="X99" s="15"/>
      <c r="Y99" s="203">
        <f>SUM(AT_2015[[#This Row],[Mão de obra]:[Outros]])</f>
        <v>0</v>
      </c>
      <c r="Z99" s="19"/>
      <c r="AA99" s="159">
        <f>IF(AT_2015[[#This Row],[Correio]]&gt;0,1,0)</f>
        <v>0</v>
      </c>
      <c r="AB99" s="159" t="str">
        <f>IF(AT_2015[[#This Row],[Correio]]&gt;0,"sim","não")</f>
        <v>não</v>
      </c>
      <c r="AC99" s="130" t="str">
        <f t="shared" si="11"/>
        <v/>
      </c>
      <c r="AD99" s="131" t="str">
        <f t="shared" si="12"/>
        <v/>
      </c>
      <c r="AE99" s="132" t="str">
        <f t="shared" si="13"/>
        <v/>
      </c>
      <c r="AF99" s="132" t="str">
        <f t="shared" si="14"/>
        <v/>
      </c>
      <c r="AG99" s="132" t="str">
        <f t="shared" si="15"/>
        <v/>
      </c>
      <c r="AH99" s="132" t="str">
        <f t="shared" si="16"/>
        <v/>
      </c>
      <c r="AI99" s="125"/>
      <c r="AJ99" s="125"/>
      <c r="AK99" s="125"/>
      <c r="AL99" s="125"/>
      <c r="AM99" s="125"/>
      <c r="AN99" s="125"/>
      <c r="AO99" s="125"/>
      <c r="AP99" s="137"/>
      <c r="AQ99" s="125"/>
      <c r="AR99" s="125"/>
      <c r="AS99" s="125"/>
      <c r="AT99" s="125"/>
      <c r="AU99" s="135" t="str">
        <f t="shared" si="9"/>
        <v/>
      </c>
      <c r="AV99" s="136">
        <f t="shared" si="10"/>
        <v>0</v>
      </c>
    </row>
    <row r="100" spans="1:48" ht="26.25" customHeight="1">
      <c r="A100" s="5">
        <f>IF(AT_2015[[#This Row],[Data ]]&gt;1,1,0)</f>
        <v>0</v>
      </c>
      <c r="B100" s="6"/>
      <c r="C100" s="7"/>
      <c r="D100" s="8"/>
      <c r="E100" s="9"/>
      <c r="F100" s="194"/>
      <c r="G100" s="9"/>
      <c r="H100" s="10"/>
      <c r="I100" s="10"/>
      <c r="J100" s="9"/>
      <c r="K100" s="9"/>
      <c r="L100" s="9"/>
      <c r="M100" s="11"/>
      <c r="N100" s="9"/>
      <c r="O100" s="12"/>
      <c r="P100" s="13"/>
      <c r="Q100" s="9"/>
      <c r="R100" s="14"/>
      <c r="S100" s="13"/>
      <c r="T100" s="15"/>
      <c r="U100" s="15"/>
      <c r="V100" s="15"/>
      <c r="W100" s="15"/>
      <c r="X100" s="15"/>
      <c r="Y100" s="203">
        <f>SUM(AT_2015[[#This Row],[Mão de obra]:[Outros]])</f>
        <v>0</v>
      </c>
      <c r="Z100" s="19"/>
      <c r="AA100" s="159">
        <f>IF(AT_2015[[#This Row],[Correio]]&gt;0,1,0)</f>
        <v>0</v>
      </c>
      <c r="AB100" s="159" t="str">
        <f>IF(AT_2015[[#This Row],[Correio]]&gt;0,"sim","não")</f>
        <v>não</v>
      </c>
      <c r="AC100" s="130" t="str">
        <f>IF(B100="","",TEXT(B100,"ddmmaaaa")&amp;F100)</f>
        <v/>
      </c>
      <c r="AD100" s="131" t="str">
        <f t="shared" si="12"/>
        <v/>
      </c>
      <c r="AE100" s="132" t="str">
        <f t="shared" si="13"/>
        <v/>
      </c>
      <c r="AF100" s="132" t="str">
        <f t="shared" si="14"/>
        <v/>
      </c>
      <c r="AG100" s="132" t="str">
        <f t="shared" si="15"/>
        <v/>
      </c>
      <c r="AH100" s="132" t="str">
        <f t="shared" si="16"/>
        <v/>
      </c>
      <c r="AI100" s="125"/>
      <c r="AJ100" s="125"/>
      <c r="AK100" s="125"/>
      <c r="AL100" s="125"/>
      <c r="AM100" s="125"/>
      <c r="AN100" s="125"/>
      <c r="AO100" s="125"/>
      <c r="AP100" s="137"/>
      <c r="AQ100" s="125"/>
      <c r="AR100" s="125"/>
      <c r="AS100" s="125"/>
      <c r="AT100" s="125"/>
      <c r="AU100" s="135" t="str">
        <f>IF(B100="","",TEXT(B100,"MMAAAA")&amp;M100&amp;K100)</f>
        <v/>
      </c>
      <c r="AV100" s="136">
        <f t="shared" si="10"/>
        <v>0</v>
      </c>
    </row>
    <row r="101" spans="1:48" ht="26.25" customHeight="1">
      <c r="A101" s="5">
        <f>IF(AT_2015[[#This Row],[Data ]]&gt;1,1,0)</f>
        <v>0</v>
      </c>
      <c r="B101" s="6"/>
      <c r="C101" s="7"/>
      <c r="D101" s="8"/>
      <c r="E101" s="9"/>
      <c r="F101" s="194"/>
      <c r="G101" s="9"/>
      <c r="H101" s="10"/>
      <c r="I101" s="10"/>
      <c r="J101" s="9"/>
      <c r="K101" s="9"/>
      <c r="L101" s="9"/>
      <c r="M101" s="11"/>
      <c r="N101" s="9"/>
      <c r="O101" s="12"/>
      <c r="P101" s="13"/>
      <c r="Q101" s="9"/>
      <c r="R101" s="14"/>
      <c r="S101" s="13"/>
      <c r="T101" s="15"/>
      <c r="U101" s="15"/>
      <c r="V101" s="15"/>
      <c r="W101" s="15"/>
      <c r="X101" s="15"/>
      <c r="Y101" s="203">
        <f>SUM(AT_2015[[#This Row],[Mão de obra]:[Outros]])</f>
        <v>0</v>
      </c>
      <c r="Z101" s="19"/>
      <c r="AA101" s="159">
        <f>IF(AT_2015[[#This Row],[Correio]]&gt;0,1,0)</f>
        <v>0</v>
      </c>
      <c r="AB101" s="159" t="str">
        <f>IF(AT_2015[[#This Row],[Correio]]&gt;0,"sim","não")</f>
        <v>não</v>
      </c>
      <c r="AC101" s="130" t="str">
        <f t="shared" ref="AC101:AC108" si="17">IF(B101="","",TEXT(B101,"ddmmaaaa")&amp;F101)</f>
        <v/>
      </c>
      <c r="AD101" s="131" t="str">
        <f t="shared" ref="AD101:AD108" si="18">IF(B101="","",D101)</f>
        <v/>
      </c>
      <c r="AE101" s="132" t="str">
        <f t="shared" ref="AE101:AE108" si="19">IF(B101="","",T101)</f>
        <v/>
      </c>
      <c r="AF101" s="132" t="str">
        <f t="shared" ref="AF101:AF108" si="20">IF(B101="","",U101)</f>
        <v/>
      </c>
      <c r="AG101" s="132" t="str">
        <f t="shared" ref="AG101:AG108" si="21">IF(B101="","",V101)</f>
        <v/>
      </c>
      <c r="AH101" s="132" t="str">
        <f t="shared" ref="AH101:AH108" si="22">IF(B101="","",W101)</f>
        <v/>
      </c>
      <c r="AI101" s="125"/>
      <c r="AJ101" s="125"/>
      <c r="AK101" s="125"/>
      <c r="AL101" s="125"/>
      <c r="AM101" s="125"/>
      <c r="AN101" s="125"/>
      <c r="AO101" s="125"/>
      <c r="AP101" s="137"/>
      <c r="AQ101" s="125"/>
      <c r="AR101" s="125"/>
      <c r="AS101" s="125"/>
      <c r="AT101" s="125"/>
      <c r="AU101" s="135" t="str">
        <f t="shared" ref="AU101:AU125" si="23">IF(B101="","",TEXT(B101,"MMAAAA")&amp;M101&amp;K101)</f>
        <v/>
      </c>
      <c r="AV101" s="136">
        <f t="shared" ref="AV101:AV125" si="24">SUM(T101:X101)</f>
        <v>0</v>
      </c>
    </row>
    <row r="102" spans="1:48" ht="26.25" customHeight="1">
      <c r="A102" s="5">
        <f>IF(AT_2015[[#This Row],[Data ]]&gt;1,1,0)</f>
        <v>0</v>
      </c>
      <c r="B102" s="6"/>
      <c r="C102" s="7"/>
      <c r="D102" s="8"/>
      <c r="E102" s="9"/>
      <c r="F102" s="194"/>
      <c r="G102" s="9"/>
      <c r="H102" s="10"/>
      <c r="I102" s="10"/>
      <c r="J102" s="9"/>
      <c r="K102" s="9"/>
      <c r="L102" s="9"/>
      <c r="M102" s="11"/>
      <c r="N102" s="9"/>
      <c r="O102" s="12"/>
      <c r="P102" s="13"/>
      <c r="Q102" s="9"/>
      <c r="R102" s="14"/>
      <c r="S102" s="13"/>
      <c r="T102" s="15"/>
      <c r="U102" s="15"/>
      <c r="V102" s="15"/>
      <c r="W102" s="15"/>
      <c r="X102" s="15"/>
      <c r="Y102" s="203">
        <f>SUM(AT_2015[[#This Row],[Mão de obra]:[Outros]])</f>
        <v>0</v>
      </c>
      <c r="Z102" s="19"/>
      <c r="AA102" s="159">
        <f>IF(AT_2015[[#This Row],[Correio]]&gt;0,1,0)</f>
        <v>0</v>
      </c>
      <c r="AB102" s="159" t="str">
        <f>IF(AT_2015[[#This Row],[Correio]]&gt;0,"sim","não")</f>
        <v>não</v>
      </c>
      <c r="AC102" s="130" t="str">
        <f t="shared" si="17"/>
        <v/>
      </c>
      <c r="AD102" s="131" t="str">
        <f t="shared" si="18"/>
        <v/>
      </c>
      <c r="AE102" s="132" t="str">
        <f t="shared" si="19"/>
        <v/>
      </c>
      <c r="AF102" s="132" t="str">
        <f t="shared" si="20"/>
        <v/>
      </c>
      <c r="AG102" s="132" t="str">
        <f t="shared" si="21"/>
        <v/>
      </c>
      <c r="AH102" s="132" t="str">
        <f t="shared" si="22"/>
        <v/>
      </c>
      <c r="AI102" s="125"/>
      <c r="AJ102" s="125"/>
      <c r="AK102" s="125"/>
      <c r="AL102" s="125"/>
      <c r="AM102" s="125"/>
      <c r="AN102" s="125"/>
      <c r="AO102" s="125"/>
      <c r="AP102" s="137"/>
      <c r="AQ102" s="125"/>
      <c r="AR102" s="125"/>
      <c r="AS102" s="125"/>
      <c r="AT102" s="125"/>
      <c r="AU102" s="135" t="str">
        <f t="shared" si="23"/>
        <v/>
      </c>
      <c r="AV102" s="136">
        <f t="shared" si="24"/>
        <v>0</v>
      </c>
    </row>
    <row r="103" spans="1:48" ht="26.25" customHeight="1">
      <c r="A103" s="5">
        <f>IF(AT_2015[[#This Row],[Data ]]&gt;1,1,0)</f>
        <v>0</v>
      </c>
      <c r="B103" s="6"/>
      <c r="C103" s="7"/>
      <c r="D103" s="8"/>
      <c r="E103" s="9"/>
      <c r="F103" s="194"/>
      <c r="G103" s="9"/>
      <c r="H103" s="10"/>
      <c r="I103" s="10"/>
      <c r="J103" s="9"/>
      <c r="K103" s="9"/>
      <c r="L103" s="9"/>
      <c r="M103" s="11"/>
      <c r="N103" s="9"/>
      <c r="O103" s="12"/>
      <c r="P103" s="13"/>
      <c r="Q103" s="9"/>
      <c r="R103" s="14"/>
      <c r="S103" s="150"/>
      <c r="T103" s="15"/>
      <c r="U103" s="15"/>
      <c r="V103" s="15"/>
      <c r="W103" s="15"/>
      <c r="X103" s="15"/>
      <c r="Y103" s="203">
        <f>SUM(AT_2015[[#This Row],[Mão de obra]:[Outros]])</f>
        <v>0</v>
      </c>
      <c r="Z103" s="19"/>
      <c r="AA103" s="159">
        <f>IF(AT_2015[[#This Row],[Correio]]&gt;0,1,0)</f>
        <v>0</v>
      </c>
      <c r="AB103" s="159" t="str">
        <f>IF(AT_2015[[#This Row],[Correio]]&gt;0,"sim","não")</f>
        <v>não</v>
      </c>
      <c r="AC103" s="130" t="str">
        <f t="shared" si="17"/>
        <v/>
      </c>
      <c r="AD103" s="131" t="str">
        <f t="shared" si="18"/>
        <v/>
      </c>
      <c r="AE103" s="132" t="str">
        <f t="shared" si="19"/>
        <v/>
      </c>
      <c r="AF103" s="132" t="str">
        <f t="shared" si="20"/>
        <v/>
      </c>
      <c r="AG103" s="132" t="str">
        <f t="shared" si="21"/>
        <v/>
      </c>
      <c r="AH103" s="132" t="str">
        <f t="shared" si="22"/>
        <v/>
      </c>
      <c r="AI103" s="125"/>
      <c r="AJ103" s="125"/>
      <c r="AK103" s="125"/>
      <c r="AL103" s="125"/>
      <c r="AM103" s="125"/>
      <c r="AN103" s="125"/>
      <c r="AO103" s="125"/>
      <c r="AP103" s="137"/>
      <c r="AQ103" s="125"/>
      <c r="AR103" s="125"/>
      <c r="AS103" s="125"/>
      <c r="AT103" s="125"/>
      <c r="AU103" s="135" t="str">
        <f t="shared" si="23"/>
        <v/>
      </c>
      <c r="AV103" s="136">
        <f t="shared" si="24"/>
        <v>0</v>
      </c>
    </row>
    <row r="104" spans="1:48" ht="26.25" customHeight="1">
      <c r="A104" s="5">
        <f>IF(AT_2015[[#This Row],[Data ]]&gt;1,1,0)</f>
        <v>0</v>
      </c>
      <c r="B104" s="6"/>
      <c r="C104" s="7"/>
      <c r="D104" s="8"/>
      <c r="E104" s="9"/>
      <c r="F104" s="194"/>
      <c r="G104" s="9"/>
      <c r="H104" s="10"/>
      <c r="I104" s="10"/>
      <c r="J104" s="9"/>
      <c r="K104" s="9"/>
      <c r="L104" s="9"/>
      <c r="M104" s="11"/>
      <c r="N104" s="9"/>
      <c r="O104" s="12"/>
      <c r="P104" s="13"/>
      <c r="Q104" s="9"/>
      <c r="R104" s="14"/>
      <c r="S104" s="13"/>
      <c r="T104" s="15"/>
      <c r="U104" s="15"/>
      <c r="V104" s="15"/>
      <c r="W104" s="15"/>
      <c r="X104" s="15"/>
      <c r="Y104" s="203">
        <f>SUM(AT_2015[[#This Row],[Mão de obra]:[Outros]])</f>
        <v>0</v>
      </c>
      <c r="Z104" s="19"/>
      <c r="AA104" s="159">
        <f>IF(AT_2015[[#This Row],[Correio]]&gt;0,1,0)</f>
        <v>0</v>
      </c>
      <c r="AB104" s="159" t="str">
        <f>IF(AT_2015[[#This Row],[Correio]]&gt;0,"sim","não")</f>
        <v>não</v>
      </c>
      <c r="AC104" s="130" t="str">
        <f t="shared" si="17"/>
        <v/>
      </c>
      <c r="AD104" s="131" t="str">
        <f t="shared" si="18"/>
        <v/>
      </c>
      <c r="AE104" s="132" t="str">
        <f t="shared" si="19"/>
        <v/>
      </c>
      <c r="AF104" s="132" t="str">
        <f t="shared" si="20"/>
        <v/>
      </c>
      <c r="AG104" s="132" t="str">
        <f t="shared" si="21"/>
        <v/>
      </c>
      <c r="AH104" s="132" t="str">
        <f t="shared" si="22"/>
        <v/>
      </c>
      <c r="AI104" s="125"/>
      <c r="AJ104" s="125"/>
      <c r="AK104" s="125"/>
      <c r="AL104" s="125"/>
      <c r="AM104" s="125"/>
      <c r="AN104" s="125"/>
      <c r="AO104" s="125"/>
      <c r="AP104" s="137"/>
      <c r="AQ104" s="125"/>
      <c r="AR104" s="125"/>
      <c r="AS104" s="125"/>
      <c r="AT104" s="125"/>
      <c r="AU104" s="135" t="str">
        <f t="shared" si="23"/>
        <v/>
      </c>
      <c r="AV104" s="136">
        <f t="shared" si="24"/>
        <v>0</v>
      </c>
    </row>
    <row r="105" spans="1:48" ht="26.25" customHeight="1">
      <c r="A105" s="5">
        <f>IF(AT_2015[[#This Row],[Data ]]&gt;1,1,0)</f>
        <v>0</v>
      </c>
      <c r="B105" s="6"/>
      <c r="C105" s="7"/>
      <c r="D105" s="8"/>
      <c r="E105" s="9"/>
      <c r="F105" s="194"/>
      <c r="G105" s="9"/>
      <c r="H105" s="10"/>
      <c r="I105" s="10"/>
      <c r="J105" s="9"/>
      <c r="K105" s="9"/>
      <c r="L105" s="9"/>
      <c r="M105" s="11"/>
      <c r="N105" s="9"/>
      <c r="O105" s="12"/>
      <c r="P105" s="13"/>
      <c r="Q105" s="9"/>
      <c r="R105" s="14"/>
      <c r="S105" s="13"/>
      <c r="T105" s="15"/>
      <c r="U105" s="15"/>
      <c r="V105" s="15"/>
      <c r="W105" s="15"/>
      <c r="X105" s="15"/>
      <c r="Y105" s="203">
        <f>SUM(AT_2015[[#This Row],[Mão de obra]:[Outros]])</f>
        <v>0</v>
      </c>
      <c r="Z105" s="19"/>
      <c r="AA105" s="159">
        <f>IF(AT_2015[[#This Row],[Correio]]&gt;0,1,0)</f>
        <v>0</v>
      </c>
      <c r="AB105" s="159" t="str">
        <f>IF(AT_2015[[#This Row],[Correio]]&gt;0,"sim","não")</f>
        <v>não</v>
      </c>
      <c r="AC105" s="130" t="str">
        <f t="shared" si="17"/>
        <v/>
      </c>
      <c r="AD105" s="131" t="str">
        <f t="shared" si="18"/>
        <v/>
      </c>
      <c r="AE105" s="132" t="str">
        <f t="shared" si="19"/>
        <v/>
      </c>
      <c r="AF105" s="132" t="str">
        <f t="shared" si="20"/>
        <v/>
      </c>
      <c r="AG105" s="132" t="str">
        <f t="shared" si="21"/>
        <v/>
      </c>
      <c r="AH105" s="132" t="str">
        <f t="shared" si="22"/>
        <v/>
      </c>
      <c r="AI105" s="125"/>
      <c r="AJ105" s="125"/>
      <c r="AK105" s="125"/>
      <c r="AL105" s="125"/>
      <c r="AM105" s="125"/>
      <c r="AN105" s="125"/>
      <c r="AO105" s="125"/>
      <c r="AP105" s="137"/>
      <c r="AQ105" s="125"/>
      <c r="AR105" s="125"/>
      <c r="AS105" s="125"/>
      <c r="AT105" s="125"/>
      <c r="AU105" s="135" t="str">
        <f t="shared" si="23"/>
        <v/>
      </c>
      <c r="AV105" s="136">
        <f t="shared" si="24"/>
        <v>0</v>
      </c>
    </row>
    <row r="106" spans="1:48" ht="26.25" customHeight="1">
      <c r="A106" s="5">
        <f>IF(AT_2015[[#This Row],[Data ]]&gt;1,1,0)</f>
        <v>0</v>
      </c>
      <c r="B106" s="6"/>
      <c r="C106" s="7"/>
      <c r="D106" s="8"/>
      <c r="E106" s="9"/>
      <c r="F106" s="194"/>
      <c r="G106" s="9"/>
      <c r="H106" s="10"/>
      <c r="I106" s="10"/>
      <c r="J106" s="9"/>
      <c r="K106" s="9"/>
      <c r="L106" s="9"/>
      <c r="M106" s="11"/>
      <c r="N106" s="9"/>
      <c r="O106" s="12"/>
      <c r="P106" s="13"/>
      <c r="Q106" s="9"/>
      <c r="R106" s="14"/>
      <c r="S106" s="13"/>
      <c r="T106" s="15"/>
      <c r="U106" s="15"/>
      <c r="V106" s="15"/>
      <c r="W106" s="15"/>
      <c r="X106" s="15"/>
      <c r="Y106" s="203">
        <f>SUM(AT_2015[[#This Row],[Mão de obra]:[Outros]])</f>
        <v>0</v>
      </c>
      <c r="Z106" s="19"/>
      <c r="AA106" s="159">
        <f>IF(AT_2015[[#This Row],[Correio]]&gt;0,1,0)</f>
        <v>0</v>
      </c>
      <c r="AB106" s="159" t="str">
        <f>IF(AT_2015[[#This Row],[Correio]]&gt;0,"sim","não")</f>
        <v>não</v>
      </c>
      <c r="AC106" s="130" t="str">
        <f t="shared" si="17"/>
        <v/>
      </c>
      <c r="AD106" s="131" t="str">
        <f t="shared" si="18"/>
        <v/>
      </c>
      <c r="AE106" s="132" t="str">
        <f t="shared" si="19"/>
        <v/>
      </c>
      <c r="AF106" s="132" t="str">
        <f t="shared" si="20"/>
        <v/>
      </c>
      <c r="AG106" s="132" t="str">
        <f t="shared" si="21"/>
        <v/>
      </c>
      <c r="AH106" s="132" t="str">
        <f t="shared" si="22"/>
        <v/>
      </c>
      <c r="AI106" s="125"/>
      <c r="AJ106" s="125"/>
      <c r="AK106" s="125"/>
      <c r="AL106" s="125"/>
      <c r="AM106" s="125"/>
      <c r="AN106" s="125"/>
      <c r="AO106" s="125"/>
      <c r="AP106" s="137"/>
      <c r="AQ106" s="125"/>
      <c r="AR106" s="125"/>
      <c r="AS106" s="125"/>
      <c r="AT106" s="125"/>
      <c r="AU106" s="135" t="str">
        <f t="shared" si="23"/>
        <v/>
      </c>
      <c r="AV106" s="136">
        <f t="shared" si="24"/>
        <v>0</v>
      </c>
    </row>
    <row r="107" spans="1:48" ht="26.25" customHeight="1">
      <c r="A107" s="5">
        <f>IF(AT_2015[[#This Row],[Data ]]&gt;1,1,0)</f>
        <v>0</v>
      </c>
      <c r="B107" s="6"/>
      <c r="C107" s="7"/>
      <c r="D107" s="8"/>
      <c r="E107" s="9"/>
      <c r="F107" s="194"/>
      <c r="G107" s="9"/>
      <c r="H107" s="10"/>
      <c r="I107" s="10"/>
      <c r="J107" s="9"/>
      <c r="K107" s="9"/>
      <c r="L107" s="9"/>
      <c r="M107" s="11"/>
      <c r="N107" s="9"/>
      <c r="O107" s="12"/>
      <c r="P107" s="13"/>
      <c r="Q107" s="9"/>
      <c r="R107" s="14"/>
      <c r="S107" s="13"/>
      <c r="T107" s="15"/>
      <c r="U107" s="15"/>
      <c r="V107" s="15"/>
      <c r="W107" s="15"/>
      <c r="X107" s="15"/>
      <c r="Y107" s="203">
        <f>SUM(AT_2015[[#This Row],[Mão de obra]:[Outros]])</f>
        <v>0</v>
      </c>
      <c r="Z107" s="19"/>
      <c r="AA107" s="159">
        <f>IF(AT_2015[[#This Row],[Correio]]&gt;0,1,0)</f>
        <v>0</v>
      </c>
      <c r="AB107" s="159" t="str">
        <f>IF(AT_2015[[#This Row],[Correio]]&gt;0,"sim","não")</f>
        <v>não</v>
      </c>
      <c r="AC107" s="130" t="str">
        <f t="shared" si="17"/>
        <v/>
      </c>
      <c r="AD107" s="131" t="str">
        <f t="shared" si="18"/>
        <v/>
      </c>
      <c r="AE107" s="132" t="str">
        <f t="shared" si="19"/>
        <v/>
      </c>
      <c r="AF107" s="132" t="str">
        <f t="shared" si="20"/>
        <v/>
      </c>
      <c r="AG107" s="132" t="str">
        <f t="shared" si="21"/>
        <v/>
      </c>
      <c r="AH107" s="132" t="str">
        <f t="shared" si="22"/>
        <v/>
      </c>
      <c r="AI107" s="125"/>
      <c r="AJ107" s="125"/>
      <c r="AK107" s="125"/>
      <c r="AL107" s="125"/>
      <c r="AM107" s="125"/>
      <c r="AN107" s="125"/>
      <c r="AO107" s="125"/>
      <c r="AP107" s="137"/>
      <c r="AQ107" s="125"/>
      <c r="AR107" s="125"/>
      <c r="AS107" s="125"/>
      <c r="AT107" s="125"/>
      <c r="AU107" s="135" t="str">
        <f t="shared" si="23"/>
        <v/>
      </c>
      <c r="AV107" s="136">
        <f t="shared" si="24"/>
        <v>0</v>
      </c>
    </row>
    <row r="108" spans="1:48" ht="26.25" customHeight="1">
      <c r="A108" s="5">
        <f>IF(AT_2015[[#This Row],[Data ]]&gt;1,1,0)</f>
        <v>0</v>
      </c>
      <c r="B108" s="6"/>
      <c r="C108" s="7"/>
      <c r="D108" s="8"/>
      <c r="E108" s="9"/>
      <c r="F108" s="194"/>
      <c r="G108" s="9"/>
      <c r="H108" s="10"/>
      <c r="I108" s="10"/>
      <c r="J108" s="9"/>
      <c r="K108" s="9"/>
      <c r="L108" s="9"/>
      <c r="M108" s="11"/>
      <c r="N108" s="74"/>
      <c r="O108" s="12"/>
      <c r="P108" s="13"/>
      <c r="Q108" s="9"/>
      <c r="R108" s="14"/>
      <c r="S108" s="13"/>
      <c r="T108" s="15"/>
      <c r="U108" s="15"/>
      <c r="V108" s="15"/>
      <c r="W108" s="15"/>
      <c r="X108" s="15"/>
      <c r="Y108" s="203">
        <f>SUM(AT_2015[[#This Row],[Mão de obra]:[Outros]])</f>
        <v>0</v>
      </c>
      <c r="Z108" s="19"/>
      <c r="AA108" s="159">
        <f>IF(AT_2015[[#This Row],[Correio]]&gt;0,1,0)</f>
        <v>0</v>
      </c>
      <c r="AB108" s="159" t="str">
        <f>IF(AT_2015[[#This Row],[Correio]]&gt;0,"sim","não")</f>
        <v>não</v>
      </c>
      <c r="AC108" s="130" t="str">
        <f t="shared" si="17"/>
        <v/>
      </c>
      <c r="AD108" s="131" t="str">
        <f t="shared" si="18"/>
        <v/>
      </c>
      <c r="AE108" s="132" t="str">
        <f t="shared" si="19"/>
        <v/>
      </c>
      <c r="AF108" s="132" t="str">
        <f t="shared" si="20"/>
        <v/>
      </c>
      <c r="AG108" s="132" t="str">
        <f t="shared" si="21"/>
        <v/>
      </c>
      <c r="AH108" s="132" t="str">
        <f t="shared" si="22"/>
        <v/>
      </c>
      <c r="AI108" s="125"/>
      <c r="AJ108" s="125"/>
      <c r="AK108" s="125"/>
      <c r="AL108" s="125"/>
      <c r="AM108" s="125"/>
      <c r="AN108" s="125"/>
      <c r="AO108" s="125"/>
      <c r="AP108" s="137"/>
      <c r="AQ108" s="125"/>
      <c r="AR108" s="125"/>
      <c r="AS108" s="125"/>
      <c r="AT108" s="125"/>
      <c r="AU108" s="135" t="str">
        <f t="shared" si="23"/>
        <v/>
      </c>
      <c r="AV108" s="136">
        <f t="shared" si="24"/>
        <v>0</v>
      </c>
    </row>
    <row r="109" spans="1:48" ht="26.25" customHeight="1">
      <c r="A109" s="5">
        <f>IF(AT_2015[[#This Row],[Data ]]&gt;1,1,0)</f>
        <v>0</v>
      </c>
      <c r="B109" s="6"/>
      <c r="C109" s="7"/>
      <c r="D109" s="8"/>
      <c r="E109" s="9"/>
      <c r="F109" s="194"/>
      <c r="G109" s="9"/>
      <c r="H109" s="10"/>
      <c r="I109" s="10"/>
      <c r="J109" s="9"/>
      <c r="K109" s="9"/>
      <c r="L109" s="9"/>
      <c r="M109" s="11"/>
      <c r="N109" s="74"/>
      <c r="O109" s="142"/>
      <c r="P109" s="13"/>
      <c r="Q109" s="9"/>
      <c r="R109" s="14"/>
      <c r="S109" s="13"/>
      <c r="T109" s="15"/>
      <c r="U109" s="15"/>
      <c r="V109" s="15"/>
      <c r="W109" s="15"/>
      <c r="X109" s="15"/>
      <c r="Y109" s="203">
        <f>SUM(AT_2015[[#This Row],[Mão de obra]:[Outros]])</f>
        <v>0</v>
      </c>
      <c r="Z109" s="19"/>
      <c r="AA109" s="159">
        <f>IF(AT_2015[[#This Row],[Correio]]&gt;0,1,0)</f>
        <v>0</v>
      </c>
      <c r="AB109" s="159" t="str">
        <f>IF(AT_2015[[#This Row],[Correio]]&gt;0,"sim","não")</f>
        <v>não</v>
      </c>
      <c r="AC109" s="130" t="str">
        <f t="shared" ref="AC109:AC128" si="25">IF(B109="","",TEXT(B109,"ddmmaaaa")&amp;F109)</f>
        <v/>
      </c>
      <c r="AD109" s="131" t="str">
        <f t="shared" ref="AD109:AD128" si="26">IF(B109="","",D109)</f>
        <v/>
      </c>
      <c r="AE109" s="132" t="str">
        <f t="shared" ref="AE109:AE128" si="27">IF(B109="","",T109)</f>
        <v/>
      </c>
      <c r="AF109" s="132" t="str">
        <f t="shared" ref="AF109:AF128" si="28">IF(B109="","",U109)</f>
        <v/>
      </c>
      <c r="AG109" s="132" t="str">
        <f t="shared" ref="AG109:AG128" si="29">IF(B109="","",V109)</f>
        <v/>
      </c>
      <c r="AH109" s="132" t="str">
        <f t="shared" ref="AH109:AH128" si="30">IF(B109="","",W109)</f>
        <v/>
      </c>
      <c r="AI109" s="125"/>
      <c r="AJ109" s="125"/>
      <c r="AK109" s="125"/>
      <c r="AL109" s="125"/>
      <c r="AM109" s="125"/>
      <c r="AN109" s="125"/>
      <c r="AO109" s="125"/>
      <c r="AP109" s="137"/>
      <c r="AQ109" s="125"/>
      <c r="AR109" s="125"/>
      <c r="AS109" s="125"/>
      <c r="AT109" s="125"/>
      <c r="AU109" s="135" t="str">
        <f t="shared" si="23"/>
        <v/>
      </c>
      <c r="AV109" s="136">
        <f t="shared" si="24"/>
        <v>0</v>
      </c>
    </row>
    <row r="110" spans="1:48" ht="26.25" customHeight="1">
      <c r="A110" s="5">
        <f>IF(AT_2015[[#This Row],[Data ]]&gt;1,1,0)</f>
        <v>0</v>
      </c>
      <c r="B110" s="6"/>
      <c r="C110" s="7"/>
      <c r="D110" s="8"/>
      <c r="E110" s="9"/>
      <c r="F110" s="194"/>
      <c r="G110" s="9"/>
      <c r="H110" s="10"/>
      <c r="I110" s="10"/>
      <c r="J110" s="9"/>
      <c r="K110" s="9"/>
      <c r="L110" s="9"/>
      <c r="M110" s="11"/>
      <c r="N110" s="9"/>
      <c r="O110" s="142"/>
      <c r="P110" s="13"/>
      <c r="Q110" s="9"/>
      <c r="R110" s="14"/>
      <c r="S110" s="13"/>
      <c r="T110" s="15"/>
      <c r="U110" s="15"/>
      <c r="V110" s="15"/>
      <c r="W110" s="15"/>
      <c r="X110" s="15"/>
      <c r="Y110" s="203">
        <f>SUM(AT_2015[[#This Row],[Mão de obra]:[Outros]])</f>
        <v>0</v>
      </c>
      <c r="Z110" s="19"/>
      <c r="AA110" s="159">
        <f>IF(AT_2015[[#This Row],[Correio]]&gt;0,1,0)</f>
        <v>0</v>
      </c>
      <c r="AB110" s="159" t="str">
        <f>IF(AT_2015[[#This Row],[Correio]]&gt;0,"sim","não")</f>
        <v>não</v>
      </c>
      <c r="AC110" s="130" t="str">
        <f t="shared" si="25"/>
        <v/>
      </c>
      <c r="AD110" s="131" t="str">
        <f t="shared" si="26"/>
        <v/>
      </c>
      <c r="AE110" s="132" t="str">
        <f t="shared" si="27"/>
        <v/>
      </c>
      <c r="AF110" s="132" t="str">
        <f t="shared" si="28"/>
        <v/>
      </c>
      <c r="AG110" s="132" t="str">
        <f t="shared" si="29"/>
        <v/>
      </c>
      <c r="AH110" s="132" t="str">
        <f t="shared" si="30"/>
        <v/>
      </c>
      <c r="AI110" s="125"/>
      <c r="AJ110" s="125"/>
      <c r="AK110" s="125"/>
      <c r="AL110" s="125"/>
      <c r="AM110" s="125"/>
      <c r="AN110" s="125"/>
      <c r="AO110" s="125"/>
      <c r="AP110" s="137"/>
      <c r="AQ110" s="125"/>
      <c r="AR110" s="125"/>
      <c r="AS110" s="125"/>
      <c r="AT110" s="125"/>
      <c r="AU110" s="135" t="str">
        <f t="shared" si="23"/>
        <v/>
      </c>
      <c r="AV110" s="136">
        <f t="shared" si="24"/>
        <v>0</v>
      </c>
    </row>
    <row r="111" spans="1:48" ht="26.25" customHeight="1">
      <c r="A111" s="5">
        <f>IF(AT_2015[[#This Row],[Data ]]&gt;1,1,0)</f>
        <v>0</v>
      </c>
      <c r="B111" s="6"/>
      <c r="C111" s="7"/>
      <c r="D111" s="8"/>
      <c r="E111" s="9"/>
      <c r="F111" s="194"/>
      <c r="G111" s="9"/>
      <c r="H111" s="10"/>
      <c r="I111" s="10"/>
      <c r="J111" s="9"/>
      <c r="K111" s="9"/>
      <c r="L111" s="9"/>
      <c r="M111" s="11"/>
      <c r="N111" s="9"/>
      <c r="O111" s="9"/>
      <c r="P111" s="13"/>
      <c r="Q111" s="9"/>
      <c r="R111" s="14"/>
      <c r="S111" s="13"/>
      <c r="T111" s="15"/>
      <c r="U111" s="15"/>
      <c r="V111" s="15"/>
      <c r="W111" s="15"/>
      <c r="X111" s="15"/>
      <c r="Y111" s="203">
        <f>SUM(AT_2015[[#This Row],[Mão de obra]:[Outros]])</f>
        <v>0</v>
      </c>
      <c r="Z111" s="19"/>
      <c r="AA111" s="159">
        <f>IF(AT_2015[[#This Row],[Correio]]&gt;0,1,0)</f>
        <v>0</v>
      </c>
      <c r="AB111" s="159" t="str">
        <f>IF(AT_2015[[#This Row],[Correio]]&gt;0,"sim","não")</f>
        <v>não</v>
      </c>
      <c r="AC111" s="130" t="str">
        <f t="shared" si="25"/>
        <v/>
      </c>
      <c r="AD111" s="131" t="str">
        <f t="shared" si="26"/>
        <v/>
      </c>
      <c r="AE111" s="132" t="str">
        <f t="shared" si="27"/>
        <v/>
      </c>
      <c r="AF111" s="132" t="str">
        <f t="shared" si="28"/>
        <v/>
      </c>
      <c r="AG111" s="132" t="str">
        <f t="shared" si="29"/>
        <v/>
      </c>
      <c r="AH111" s="132" t="str">
        <f t="shared" si="30"/>
        <v/>
      </c>
      <c r="AI111" s="125"/>
      <c r="AJ111" s="125"/>
      <c r="AK111" s="125"/>
      <c r="AL111" s="125"/>
      <c r="AM111" s="125"/>
      <c r="AN111" s="125"/>
      <c r="AO111" s="125"/>
      <c r="AP111" s="137"/>
      <c r="AQ111" s="125"/>
      <c r="AR111" s="125"/>
      <c r="AS111" s="125"/>
      <c r="AT111" s="125"/>
      <c r="AU111" s="135" t="str">
        <f t="shared" si="23"/>
        <v/>
      </c>
      <c r="AV111" s="136">
        <f t="shared" si="24"/>
        <v>0</v>
      </c>
    </row>
    <row r="112" spans="1:48" ht="26.25" customHeight="1">
      <c r="A112" s="5">
        <f>IF(AT_2015[[#This Row],[Data ]]&gt;1,1,0)</f>
        <v>0</v>
      </c>
      <c r="B112" s="6"/>
      <c r="C112" s="7"/>
      <c r="D112" s="8"/>
      <c r="E112" s="9"/>
      <c r="F112" s="194"/>
      <c r="G112" s="9"/>
      <c r="H112" s="10"/>
      <c r="I112" s="10"/>
      <c r="J112" s="9"/>
      <c r="K112" s="9"/>
      <c r="L112" s="9"/>
      <c r="M112" s="11"/>
      <c r="N112" s="9"/>
      <c r="O112" s="12"/>
      <c r="P112" s="13"/>
      <c r="Q112" s="9"/>
      <c r="R112" s="14"/>
      <c r="S112" s="13"/>
      <c r="T112" s="15"/>
      <c r="U112" s="15"/>
      <c r="V112" s="15"/>
      <c r="W112" s="15"/>
      <c r="X112" s="15"/>
      <c r="Y112" s="203">
        <f>SUM(AT_2015[[#This Row],[Mão de obra]:[Outros]])</f>
        <v>0</v>
      </c>
      <c r="Z112" s="19"/>
      <c r="AA112" s="159">
        <f>IF(AT_2015[[#This Row],[Correio]]&gt;0,1,0)</f>
        <v>0</v>
      </c>
      <c r="AB112" s="159" t="str">
        <f>IF(AT_2015[[#This Row],[Correio]]&gt;0,"sim","não")</f>
        <v>não</v>
      </c>
      <c r="AC112" s="130" t="str">
        <f t="shared" si="25"/>
        <v/>
      </c>
      <c r="AD112" s="131" t="str">
        <f t="shared" si="26"/>
        <v/>
      </c>
      <c r="AE112" s="132" t="str">
        <f t="shared" si="27"/>
        <v/>
      </c>
      <c r="AF112" s="132" t="str">
        <f t="shared" si="28"/>
        <v/>
      </c>
      <c r="AG112" s="132" t="str">
        <f t="shared" si="29"/>
        <v/>
      </c>
      <c r="AH112" s="132" t="str">
        <f t="shared" si="30"/>
        <v/>
      </c>
      <c r="AI112" s="125"/>
      <c r="AJ112" s="125"/>
      <c r="AK112" s="125"/>
      <c r="AL112" s="125"/>
      <c r="AM112" s="125"/>
      <c r="AN112" s="125"/>
      <c r="AO112" s="125"/>
      <c r="AP112" s="137"/>
      <c r="AQ112" s="125"/>
      <c r="AR112" s="125"/>
      <c r="AS112" s="125"/>
      <c r="AT112" s="125"/>
      <c r="AU112" s="135" t="str">
        <f t="shared" si="23"/>
        <v/>
      </c>
      <c r="AV112" s="136">
        <f t="shared" si="24"/>
        <v>0</v>
      </c>
    </row>
    <row r="113" spans="1:48" ht="26.25" customHeight="1">
      <c r="A113" s="5">
        <f>IF(AT_2015[[#This Row],[Data ]]&gt;1,1,0)</f>
        <v>0</v>
      </c>
      <c r="B113" s="6"/>
      <c r="C113" s="7"/>
      <c r="D113" s="8"/>
      <c r="E113" s="9"/>
      <c r="F113" s="194"/>
      <c r="G113" s="9"/>
      <c r="H113" s="10"/>
      <c r="I113" s="10"/>
      <c r="J113" s="9"/>
      <c r="K113" s="9"/>
      <c r="L113" s="9"/>
      <c r="M113" s="11"/>
      <c r="N113" s="9"/>
      <c r="O113" s="12"/>
      <c r="P113" s="13"/>
      <c r="Q113" s="9"/>
      <c r="R113" s="14"/>
      <c r="S113" s="13"/>
      <c r="T113" s="15"/>
      <c r="U113" s="15"/>
      <c r="V113" s="15"/>
      <c r="W113" s="15"/>
      <c r="X113" s="15"/>
      <c r="Y113" s="203">
        <f>SUM(AT_2015[[#This Row],[Mão de obra]:[Outros]])</f>
        <v>0</v>
      </c>
      <c r="Z113" s="19"/>
      <c r="AA113" s="159">
        <f>IF(AT_2015[[#This Row],[Correio]]&gt;0,1,0)</f>
        <v>0</v>
      </c>
      <c r="AB113" s="159" t="str">
        <f>IF(AT_2015[[#This Row],[Correio]]&gt;0,"sim","não")</f>
        <v>não</v>
      </c>
      <c r="AC113" s="130" t="str">
        <f t="shared" si="25"/>
        <v/>
      </c>
      <c r="AD113" s="131" t="str">
        <f t="shared" si="26"/>
        <v/>
      </c>
      <c r="AE113" s="132" t="str">
        <f t="shared" si="27"/>
        <v/>
      </c>
      <c r="AF113" s="132" t="str">
        <f t="shared" si="28"/>
        <v/>
      </c>
      <c r="AG113" s="132" t="str">
        <f t="shared" si="29"/>
        <v/>
      </c>
      <c r="AH113" s="132" t="str">
        <f t="shared" si="30"/>
        <v/>
      </c>
      <c r="AI113" s="125"/>
      <c r="AJ113" s="125"/>
      <c r="AK113" s="125"/>
      <c r="AL113" s="125"/>
      <c r="AM113" s="125"/>
      <c r="AN113" s="125"/>
      <c r="AO113" s="125"/>
      <c r="AP113" s="137"/>
      <c r="AQ113" s="125"/>
      <c r="AR113" s="125"/>
      <c r="AS113" s="125"/>
      <c r="AT113" s="125"/>
      <c r="AU113" s="135" t="str">
        <f t="shared" si="23"/>
        <v/>
      </c>
      <c r="AV113" s="136">
        <f t="shared" si="24"/>
        <v>0</v>
      </c>
    </row>
    <row r="114" spans="1:48" ht="26.25" customHeight="1">
      <c r="A114" s="5"/>
      <c r="B114" s="6"/>
      <c r="C114" s="7"/>
      <c r="D114" s="8"/>
      <c r="E114" s="9"/>
      <c r="F114" s="194"/>
      <c r="G114" s="9"/>
      <c r="H114" s="10"/>
      <c r="I114" s="10"/>
      <c r="J114" s="9"/>
      <c r="K114" s="9"/>
      <c r="L114" s="9"/>
      <c r="M114" s="11"/>
      <c r="N114" s="9"/>
      <c r="O114" s="12"/>
      <c r="P114" s="13"/>
      <c r="Q114" s="9"/>
      <c r="R114" s="14"/>
      <c r="S114" s="13"/>
      <c r="T114" s="15"/>
      <c r="U114" s="15"/>
      <c r="V114" s="15"/>
      <c r="W114" s="15"/>
      <c r="X114" s="15"/>
      <c r="Y114" s="203"/>
      <c r="Z114" s="19"/>
      <c r="AA114" s="159"/>
      <c r="AB114" s="159"/>
      <c r="AC114" s="130"/>
      <c r="AD114" s="131"/>
      <c r="AE114" s="132"/>
      <c r="AF114" s="132"/>
      <c r="AG114" s="132"/>
      <c r="AH114" s="132"/>
      <c r="AI114" s="125"/>
      <c r="AJ114" s="125"/>
      <c r="AK114" s="125"/>
      <c r="AL114" s="125"/>
      <c r="AM114" s="125"/>
      <c r="AN114" s="125"/>
      <c r="AO114" s="125"/>
      <c r="AP114" s="137"/>
      <c r="AQ114" s="125"/>
      <c r="AR114" s="125"/>
      <c r="AS114" s="125"/>
      <c r="AT114" s="125"/>
      <c r="AU114" s="135"/>
      <c r="AV114" s="136"/>
    </row>
    <row r="115" spans="1:48" ht="26.25" customHeight="1">
      <c r="A115" s="5">
        <f>IF(AT_2015[[#This Row],[Data ]]&gt;1,1,0)</f>
        <v>0</v>
      </c>
      <c r="B115" s="6"/>
      <c r="C115" s="7"/>
      <c r="D115" s="8"/>
      <c r="E115" s="9"/>
      <c r="F115" s="194"/>
      <c r="G115" s="9"/>
      <c r="H115" s="10"/>
      <c r="I115" s="10"/>
      <c r="J115" s="9"/>
      <c r="K115" s="9"/>
      <c r="L115" s="9"/>
      <c r="M115" s="11"/>
      <c r="N115" s="9"/>
      <c r="O115" s="12"/>
      <c r="P115" s="13"/>
      <c r="Q115" s="9"/>
      <c r="R115" s="14"/>
      <c r="S115" s="13"/>
      <c r="T115" s="15"/>
      <c r="U115" s="15"/>
      <c r="V115" s="15"/>
      <c r="W115" s="15"/>
      <c r="X115" s="15"/>
      <c r="Y115" s="203">
        <f>SUM(AT_2015[[#This Row],[Mão de obra]:[Outros]])</f>
        <v>0</v>
      </c>
      <c r="Z115" s="19"/>
      <c r="AA115" s="159">
        <f>IF(AT_2015[[#This Row],[Correio]]&gt;0,1,0)</f>
        <v>0</v>
      </c>
      <c r="AB115" s="159" t="str">
        <f>IF(AT_2015[[#This Row],[Correio]]&gt;0,"sim","não")</f>
        <v>não</v>
      </c>
      <c r="AC115" s="130" t="str">
        <f t="shared" si="25"/>
        <v/>
      </c>
      <c r="AD115" s="131" t="str">
        <f t="shared" si="26"/>
        <v/>
      </c>
      <c r="AE115" s="132" t="str">
        <f t="shared" si="27"/>
        <v/>
      </c>
      <c r="AF115" s="132" t="str">
        <f t="shared" si="28"/>
        <v/>
      </c>
      <c r="AG115" s="132" t="str">
        <f t="shared" si="29"/>
        <v/>
      </c>
      <c r="AH115" s="132" t="str">
        <f t="shared" si="30"/>
        <v/>
      </c>
      <c r="AI115" s="125"/>
      <c r="AJ115" s="125"/>
      <c r="AK115" s="125"/>
      <c r="AL115" s="125"/>
      <c r="AM115" s="125"/>
      <c r="AN115" s="125"/>
      <c r="AO115" s="125"/>
      <c r="AP115" s="137"/>
      <c r="AQ115" s="125"/>
      <c r="AR115" s="125"/>
      <c r="AS115" s="125"/>
      <c r="AT115" s="125"/>
      <c r="AU115" s="135" t="str">
        <f t="shared" si="23"/>
        <v/>
      </c>
      <c r="AV115" s="136">
        <f t="shared" si="24"/>
        <v>0</v>
      </c>
    </row>
    <row r="116" spans="1:48" ht="26.25" customHeight="1">
      <c r="A116" s="5">
        <f>IF(AT_2015[[#This Row],[Data ]]&gt;1,1,0)</f>
        <v>0</v>
      </c>
      <c r="B116" s="6"/>
      <c r="C116" s="7"/>
      <c r="D116" s="8"/>
      <c r="E116" s="9"/>
      <c r="F116" s="194"/>
      <c r="G116" s="9"/>
      <c r="H116" s="10"/>
      <c r="I116" s="10"/>
      <c r="J116" s="9"/>
      <c r="K116" s="9"/>
      <c r="L116" s="9"/>
      <c r="M116" s="11"/>
      <c r="N116" s="9"/>
      <c r="O116" s="12"/>
      <c r="P116" s="13"/>
      <c r="Q116" s="9"/>
      <c r="R116" s="14"/>
      <c r="S116" s="13"/>
      <c r="T116" s="15"/>
      <c r="U116" s="15"/>
      <c r="V116" s="15"/>
      <c r="W116" s="15"/>
      <c r="X116" s="15"/>
      <c r="Y116" s="203">
        <f>SUM(AT_2015[[#This Row],[Mão de obra]:[Outros]])</f>
        <v>0</v>
      </c>
      <c r="Z116" s="19"/>
      <c r="AA116" s="159">
        <f>IF(AT_2015[[#This Row],[Correio]]&gt;0,1,0)</f>
        <v>0</v>
      </c>
      <c r="AB116" s="159" t="str">
        <f>IF(AT_2015[[#This Row],[Correio]]&gt;0,"sim","não")</f>
        <v>não</v>
      </c>
      <c r="AC116" s="130" t="str">
        <f t="shared" si="25"/>
        <v/>
      </c>
      <c r="AD116" s="131" t="str">
        <f t="shared" si="26"/>
        <v/>
      </c>
      <c r="AE116" s="132" t="str">
        <f t="shared" si="27"/>
        <v/>
      </c>
      <c r="AF116" s="132" t="str">
        <f t="shared" si="28"/>
        <v/>
      </c>
      <c r="AG116" s="132" t="str">
        <f t="shared" si="29"/>
        <v/>
      </c>
      <c r="AH116" s="132" t="str">
        <f t="shared" si="30"/>
        <v/>
      </c>
      <c r="AI116" s="125"/>
      <c r="AJ116" s="125"/>
      <c r="AK116" s="125"/>
      <c r="AL116" s="125"/>
      <c r="AM116" s="125"/>
      <c r="AN116" s="125"/>
      <c r="AO116" s="125"/>
      <c r="AP116" s="137"/>
      <c r="AQ116" s="125"/>
      <c r="AR116" s="125"/>
      <c r="AS116" s="125"/>
      <c r="AT116" s="125"/>
      <c r="AU116" s="135" t="str">
        <f t="shared" si="23"/>
        <v/>
      </c>
      <c r="AV116" s="136">
        <f t="shared" si="24"/>
        <v>0</v>
      </c>
    </row>
    <row r="117" spans="1:48" ht="26.25" customHeight="1">
      <c r="A117" s="5">
        <f>IF(AT_2015[[#This Row],[Data ]]&gt;1,1,0)</f>
        <v>0</v>
      </c>
      <c r="B117" s="75"/>
      <c r="C117" s="76"/>
      <c r="D117" s="77"/>
      <c r="E117" s="9"/>
      <c r="F117" s="194"/>
      <c r="G117" s="9"/>
      <c r="H117" s="10"/>
      <c r="I117" s="10"/>
      <c r="J117" s="9"/>
      <c r="K117" s="9"/>
      <c r="L117" s="9"/>
      <c r="M117" s="11"/>
      <c r="N117" s="9"/>
      <c r="O117" s="12"/>
      <c r="P117" s="13"/>
      <c r="Q117" s="9"/>
      <c r="R117" s="14"/>
      <c r="S117" s="13"/>
      <c r="T117" s="15"/>
      <c r="U117" s="15"/>
      <c r="V117" s="15"/>
      <c r="W117" s="15"/>
      <c r="X117" s="15"/>
      <c r="Y117" s="203">
        <f>SUM(AT_2015[[#This Row],[Mão de obra]:[Outros]])</f>
        <v>0</v>
      </c>
      <c r="Z117" s="19"/>
      <c r="AA117" s="159">
        <f>IF(AT_2015[[#This Row],[Correio]]&gt;0,1,0)</f>
        <v>0</v>
      </c>
      <c r="AB117" s="159" t="str">
        <f>IF(AT_2015[[#This Row],[Correio]]&gt;0,"sim","não")</f>
        <v>não</v>
      </c>
      <c r="AC117" s="130" t="str">
        <f t="shared" si="25"/>
        <v/>
      </c>
      <c r="AD117" s="131" t="str">
        <f t="shared" si="26"/>
        <v/>
      </c>
      <c r="AE117" s="132" t="str">
        <f t="shared" si="27"/>
        <v/>
      </c>
      <c r="AF117" s="132" t="str">
        <f t="shared" si="28"/>
        <v/>
      </c>
      <c r="AG117" s="132" t="str">
        <f t="shared" si="29"/>
        <v/>
      </c>
      <c r="AH117" s="132" t="str">
        <f t="shared" si="30"/>
        <v/>
      </c>
      <c r="AI117" s="125"/>
      <c r="AJ117" s="125"/>
      <c r="AK117" s="125"/>
      <c r="AL117" s="125"/>
      <c r="AM117" s="125"/>
      <c r="AN117" s="125"/>
      <c r="AO117" s="125"/>
      <c r="AP117" s="137"/>
      <c r="AQ117" s="125"/>
      <c r="AR117" s="125"/>
      <c r="AS117" s="125"/>
      <c r="AT117" s="125"/>
      <c r="AU117" s="135" t="str">
        <f t="shared" si="23"/>
        <v/>
      </c>
      <c r="AV117" s="136">
        <f t="shared" si="24"/>
        <v>0</v>
      </c>
    </row>
    <row r="118" spans="1:48" ht="26.25" customHeight="1">
      <c r="A118" s="5">
        <f>IF(AT_2015[[#This Row],[Data ]]&gt;1,1,0)</f>
        <v>0</v>
      </c>
      <c r="B118" s="75"/>
      <c r="C118" s="76"/>
      <c r="D118" s="77"/>
      <c r="E118" s="9"/>
      <c r="F118" s="194"/>
      <c r="G118" s="9"/>
      <c r="H118" s="10"/>
      <c r="I118" s="10"/>
      <c r="J118" s="9"/>
      <c r="K118" s="9"/>
      <c r="L118" s="9"/>
      <c r="M118" s="11"/>
      <c r="N118" s="9"/>
      <c r="O118" s="12"/>
      <c r="P118" s="13"/>
      <c r="Q118" s="9"/>
      <c r="R118" s="14"/>
      <c r="S118" s="13"/>
      <c r="T118" s="15"/>
      <c r="U118" s="15"/>
      <c r="V118" s="15"/>
      <c r="W118" s="15"/>
      <c r="X118" s="15"/>
      <c r="Y118" s="203">
        <f>SUM(AT_2015[[#This Row],[Mão de obra]:[Outros]])</f>
        <v>0</v>
      </c>
      <c r="Z118" s="19"/>
      <c r="AA118" s="159">
        <f>IF(AT_2015[[#This Row],[Correio]]&gt;0,1,0)</f>
        <v>0</v>
      </c>
      <c r="AB118" s="159" t="str">
        <f>IF(AT_2015[[#This Row],[Correio]]&gt;0,"sim","não")</f>
        <v>não</v>
      </c>
      <c r="AC118" s="130" t="str">
        <f t="shared" si="25"/>
        <v/>
      </c>
      <c r="AD118" s="131" t="str">
        <f t="shared" si="26"/>
        <v/>
      </c>
      <c r="AE118" s="132" t="str">
        <f t="shared" si="27"/>
        <v/>
      </c>
      <c r="AF118" s="132" t="str">
        <f t="shared" si="28"/>
        <v/>
      </c>
      <c r="AG118" s="132" t="str">
        <f t="shared" si="29"/>
        <v/>
      </c>
      <c r="AH118" s="132" t="str">
        <f t="shared" si="30"/>
        <v/>
      </c>
      <c r="AI118" s="125"/>
      <c r="AJ118" s="125"/>
      <c r="AK118" s="125"/>
      <c r="AL118" s="125"/>
      <c r="AM118" s="125"/>
      <c r="AN118" s="125"/>
      <c r="AO118" s="125"/>
      <c r="AP118" s="137"/>
      <c r="AQ118" s="125"/>
      <c r="AR118" s="125"/>
      <c r="AS118" s="125"/>
      <c r="AT118" s="125"/>
      <c r="AU118" s="135" t="str">
        <f t="shared" si="23"/>
        <v/>
      </c>
      <c r="AV118" s="136">
        <f t="shared" si="24"/>
        <v>0</v>
      </c>
    </row>
    <row r="119" spans="1:48" ht="26.25" customHeight="1">
      <c r="A119" s="5">
        <f>IF(AT_2015[[#This Row],[Data ]]&gt;1,1,0)</f>
        <v>0</v>
      </c>
      <c r="B119" s="75"/>
      <c r="C119" s="76"/>
      <c r="D119" s="77"/>
      <c r="E119" s="9"/>
      <c r="F119" s="194"/>
      <c r="G119" s="9"/>
      <c r="H119" s="10"/>
      <c r="I119" s="10"/>
      <c r="J119" s="9"/>
      <c r="K119" s="9"/>
      <c r="L119" s="9"/>
      <c r="M119" s="11"/>
      <c r="N119" s="9"/>
      <c r="O119" s="12"/>
      <c r="P119" s="13"/>
      <c r="Q119" s="9"/>
      <c r="R119" s="14"/>
      <c r="S119" s="13"/>
      <c r="T119" s="15"/>
      <c r="U119" s="15"/>
      <c r="V119" s="15"/>
      <c r="W119" s="15"/>
      <c r="X119" s="15"/>
      <c r="Y119" s="203">
        <f>SUM(AT_2015[[#This Row],[Mão de obra]:[Outros]])</f>
        <v>0</v>
      </c>
      <c r="Z119" s="19"/>
      <c r="AA119" s="159">
        <f>IF(AT_2015[[#This Row],[Correio]]&gt;0,1,0)</f>
        <v>0</v>
      </c>
      <c r="AB119" s="159" t="str">
        <f>IF(AT_2015[[#This Row],[Correio]]&gt;0,"sim","não")</f>
        <v>não</v>
      </c>
      <c r="AC119" s="130" t="str">
        <f t="shared" si="25"/>
        <v/>
      </c>
      <c r="AD119" s="131" t="str">
        <f t="shared" si="26"/>
        <v/>
      </c>
      <c r="AE119" s="132" t="str">
        <f t="shared" si="27"/>
        <v/>
      </c>
      <c r="AF119" s="132" t="str">
        <f t="shared" si="28"/>
        <v/>
      </c>
      <c r="AG119" s="132" t="str">
        <f t="shared" si="29"/>
        <v/>
      </c>
      <c r="AH119" s="132" t="str">
        <f t="shared" si="30"/>
        <v/>
      </c>
      <c r="AI119" s="125"/>
      <c r="AJ119" s="125"/>
      <c r="AK119" s="125"/>
      <c r="AL119" s="125"/>
      <c r="AM119" s="125"/>
      <c r="AN119" s="125"/>
      <c r="AO119" s="125"/>
      <c r="AP119" s="137"/>
      <c r="AQ119" s="125"/>
      <c r="AR119" s="125"/>
      <c r="AS119" s="125"/>
      <c r="AT119" s="125"/>
      <c r="AU119" s="135" t="str">
        <f t="shared" si="23"/>
        <v/>
      </c>
      <c r="AV119" s="136">
        <f t="shared" si="24"/>
        <v>0</v>
      </c>
    </row>
    <row r="120" spans="1:48" ht="26.25" customHeight="1">
      <c r="A120" s="5">
        <f>IF(AT_2015[[#This Row],[Data ]]&gt;1,1,0)</f>
        <v>0</v>
      </c>
      <c r="B120" s="75"/>
      <c r="C120" s="76"/>
      <c r="D120" s="77"/>
      <c r="E120" s="9"/>
      <c r="F120" s="194"/>
      <c r="G120" s="9"/>
      <c r="H120" s="10"/>
      <c r="I120" s="10"/>
      <c r="J120" s="9"/>
      <c r="K120" s="9"/>
      <c r="L120" s="9"/>
      <c r="M120" s="11"/>
      <c r="N120" s="9"/>
      <c r="O120" s="12"/>
      <c r="P120" s="13"/>
      <c r="Q120" s="9"/>
      <c r="R120" s="14"/>
      <c r="S120" s="150"/>
      <c r="T120" s="15"/>
      <c r="U120" s="15"/>
      <c r="V120" s="15"/>
      <c r="W120" s="15"/>
      <c r="X120" s="15"/>
      <c r="Y120" s="203">
        <f>SUM(AT_2015[[#This Row],[Mão de obra]:[Outros]])</f>
        <v>0</v>
      </c>
      <c r="Z120" s="19"/>
      <c r="AA120" s="159">
        <f>IF(AT_2015[[#This Row],[Correio]]&gt;0,1,0)</f>
        <v>0</v>
      </c>
      <c r="AB120" s="159" t="str">
        <f>IF(AT_2015[[#This Row],[Correio]]&gt;0,"sim","não")</f>
        <v>não</v>
      </c>
      <c r="AC120" s="130" t="str">
        <f t="shared" si="25"/>
        <v/>
      </c>
      <c r="AD120" s="131" t="str">
        <f t="shared" si="26"/>
        <v/>
      </c>
      <c r="AE120" s="132" t="str">
        <f t="shared" si="27"/>
        <v/>
      </c>
      <c r="AF120" s="132" t="str">
        <f t="shared" si="28"/>
        <v/>
      </c>
      <c r="AG120" s="132" t="str">
        <f t="shared" si="29"/>
        <v/>
      </c>
      <c r="AH120" s="132" t="str">
        <f t="shared" si="30"/>
        <v/>
      </c>
      <c r="AI120" s="125"/>
      <c r="AJ120" s="125"/>
      <c r="AK120" s="125"/>
      <c r="AL120" s="125"/>
      <c r="AM120" s="125"/>
      <c r="AN120" s="125"/>
      <c r="AO120" s="125"/>
      <c r="AP120" s="137"/>
      <c r="AQ120" s="125"/>
      <c r="AR120" s="125"/>
      <c r="AS120" s="125"/>
      <c r="AT120" s="125"/>
      <c r="AU120" s="135" t="str">
        <f t="shared" si="23"/>
        <v/>
      </c>
      <c r="AV120" s="136">
        <f t="shared" si="24"/>
        <v>0</v>
      </c>
    </row>
    <row r="121" spans="1:48" ht="26.25" hidden="1" customHeight="1">
      <c r="A121" s="5">
        <f>IF(AT_2015[[#This Row],[Data ]]&gt;1,1,0)</f>
        <v>0</v>
      </c>
      <c r="B121" s="75"/>
      <c r="C121" s="76"/>
      <c r="D121" s="77"/>
      <c r="E121" s="9"/>
      <c r="F121" s="194"/>
      <c r="G121" s="9"/>
      <c r="H121" s="10"/>
      <c r="I121" s="10"/>
      <c r="J121" s="9"/>
      <c r="K121" s="9"/>
      <c r="L121" s="9"/>
      <c r="M121" s="11"/>
      <c r="N121" s="9"/>
      <c r="O121" s="12"/>
      <c r="P121" s="13"/>
      <c r="Q121" s="9"/>
      <c r="R121" s="14"/>
      <c r="S121" s="13"/>
      <c r="T121" s="15"/>
      <c r="U121" s="15"/>
      <c r="V121" s="15"/>
      <c r="W121" s="15"/>
      <c r="X121" s="15"/>
      <c r="Y121" s="16">
        <f>SUM(AT_2015[[#This Row],[Mão de obra]:[Outros]])</f>
        <v>0</v>
      </c>
      <c r="Z121" s="19"/>
      <c r="AA121" s="19">
        <f>IF(AT_2015[[#This Row],[Correio]]&gt;0,1,0)</f>
        <v>0</v>
      </c>
      <c r="AB121" s="154" t="str">
        <f>IF(AT_2015[[#This Row],[Correio]]&gt;0,"sim","não")</f>
        <v>não</v>
      </c>
      <c r="AC121" s="130" t="str">
        <f t="shared" si="25"/>
        <v/>
      </c>
      <c r="AD121" s="131" t="str">
        <f t="shared" si="26"/>
        <v/>
      </c>
      <c r="AE121" s="132" t="str">
        <f t="shared" si="27"/>
        <v/>
      </c>
      <c r="AF121" s="132" t="str">
        <f t="shared" si="28"/>
        <v/>
      </c>
      <c r="AG121" s="132" t="str">
        <f t="shared" si="29"/>
        <v/>
      </c>
      <c r="AH121" s="132" t="str">
        <f t="shared" si="30"/>
        <v/>
      </c>
      <c r="AI121" s="125"/>
      <c r="AJ121" s="125"/>
      <c r="AK121" s="125"/>
      <c r="AL121" s="125"/>
      <c r="AM121" s="125"/>
      <c r="AN121" s="125"/>
      <c r="AO121" s="125"/>
      <c r="AP121" s="137"/>
      <c r="AQ121" s="125"/>
      <c r="AR121" s="125"/>
      <c r="AS121" s="125"/>
      <c r="AT121" s="125"/>
      <c r="AU121" s="135" t="str">
        <f t="shared" si="23"/>
        <v/>
      </c>
      <c r="AV121" s="136">
        <f t="shared" si="24"/>
        <v>0</v>
      </c>
    </row>
    <row r="122" spans="1:48" ht="26.25" hidden="1" customHeight="1">
      <c r="A122" s="5">
        <f>IF(AT_2015[[#This Row],[Data ]]&gt;1,1,0)</f>
        <v>0</v>
      </c>
      <c r="B122" s="75"/>
      <c r="C122" s="76"/>
      <c r="D122" s="77"/>
      <c r="E122" s="9"/>
      <c r="F122" s="194"/>
      <c r="G122" s="9"/>
      <c r="H122" s="10"/>
      <c r="I122" s="10"/>
      <c r="J122" s="9"/>
      <c r="K122" s="9"/>
      <c r="L122" s="9"/>
      <c r="M122" s="11"/>
      <c r="N122" s="9"/>
      <c r="O122" s="12"/>
      <c r="P122" s="13"/>
      <c r="Q122" s="9"/>
      <c r="R122" s="14"/>
      <c r="S122" s="13"/>
      <c r="T122" s="15"/>
      <c r="U122" s="15"/>
      <c r="V122" s="15"/>
      <c r="W122" s="15"/>
      <c r="X122" s="15"/>
      <c r="Y122" s="16">
        <f>SUM(AT_2015[[#This Row],[Mão de obra]:[Outros]])</f>
        <v>0</v>
      </c>
      <c r="Z122" s="19"/>
      <c r="AA122" s="19">
        <f>IF(AT_2015[[#This Row],[Correio]]&gt;0,1,0)</f>
        <v>0</v>
      </c>
      <c r="AB122" s="154" t="str">
        <f>IF(AT_2015[[#This Row],[Correio]]&gt;0,"sim","não")</f>
        <v>não</v>
      </c>
      <c r="AC122" s="130" t="str">
        <f t="shared" si="25"/>
        <v/>
      </c>
      <c r="AD122" s="131" t="str">
        <f t="shared" si="26"/>
        <v/>
      </c>
      <c r="AE122" s="132" t="str">
        <f t="shared" si="27"/>
        <v/>
      </c>
      <c r="AF122" s="132" t="str">
        <f t="shared" si="28"/>
        <v/>
      </c>
      <c r="AG122" s="132" t="str">
        <f t="shared" si="29"/>
        <v/>
      </c>
      <c r="AH122" s="132" t="str">
        <f t="shared" si="30"/>
        <v/>
      </c>
      <c r="AI122" s="125"/>
      <c r="AJ122" s="125"/>
      <c r="AK122" s="125"/>
      <c r="AL122" s="125"/>
      <c r="AM122" s="125"/>
      <c r="AN122" s="125"/>
      <c r="AO122" s="125"/>
      <c r="AP122" s="137"/>
      <c r="AQ122" s="125"/>
      <c r="AR122" s="125"/>
      <c r="AS122" s="125"/>
      <c r="AT122" s="125"/>
      <c r="AU122" s="135" t="str">
        <f t="shared" si="23"/>
        <v/>
      </c>
      <c r="AV122" s="136">
        <f t="shared" si="24"/>
        <v>0</v>
      </c>
    </row>
    <row r="123" spans="1:48" ht="26.25" hidden="1" customHeight="1">
      <c r="A123" s="5">
        <f>IF(AT_2015[[#This Row],[Data ]]&gt;1,1,0)</f>
        <v>0</v>
      </c>
      <c r="B123" s="75"/>
      <c r="C123" s="76"/>
      <c r="D123" s="77"/>
      <c r="E123" s="9"/>
      <c r="F123" s="194"/>
      <c r="G123" s="9"/>
      <c r="H123" s="10"/>
      <c r="I123" s="10"/>
      <c r="J123" s="9"/>
      <c r="K123" s="9"/>
      <c r="L123" s="9"/>
      <c r="M123" s="11"/>
      <c r="N123" s="9"/>
      <c r="O123" s="12"/>
      <c r="P123" s="13"/>
      <c r="Q123" s="9"/>
      <c r="R123" s="14"/>
      <c r="S123" s="13"/>
      <c r="T123" s="15"/>
      <c r="U123" s="15"/>
      <c r="V123" s="15"/>
      <c r="W123" s="15"/>
      <c r="X123" s="15"/>
      <c r="Y123" s="16">
        <f>SUM(AT_2015[[#This Row],[Mão de obra]:[Outros]])</f>
        <v>0</v>
      </c>
      <c r="Z123" s="19"/>
      <c r="AA123" s="19">
        <f>IF(AT_2015[[#This Row],[Correio]]&gt;0,1,0)</f>
        <v>0</v>
      </c>
      <c r="AB123" s="154" t="str">
        <f>IF(AT_2015[[#This Row],[Correio]]&gt;0,"sim","não")</f>
        <v>não</v>
      </c>
      <c r="AC123" s="130" t="str">
        <f t="shared" si="25"/>
        <v/>
      </c>
      <c r="AD123" s="131" t="str">
        <f t="shared" si="26"/>
        <v/>
      </c>
      <c r="AE123" s="132" t="str">
        <f t="shared" si="27"/>
        <v/>
      </c>
      <c r="AF123" s="132" t="str">
        <f t="shared" si="28"/>
        <v/>
      </c>
      <c r="AG123" s="132" t="str">
        <f t="shared" si="29"/>
        <v/>
      </c>
      <c r="AH123" s="132" t="str">
        <f t="shared" si="30"/>
        <v/>
      </c>
      <c r="AI123" s="125"/>
      <c r="AJ123" s="125"/>
      <c r="AK123" s="125"/>
      <c r="AL123" s="125"/>
      <c r="AM123" s="125"/>
      <c r="AN123" s="125"/>
      <c r="AO123" s="125"/>
      <c r="AP123" s="137"/>
      <c r="AQ123" s="125"/>
      <c r="AR123" s="125"/>
      <c r="AS123" s="125"/>
      <c r="AT123" s="125"/>
      <c r="AU123" s="135" t="str">
        <f t="shared" si="23"/>
        <v/>
      </c>
      <c r="AV123" s="136">
        <f t="shared" si="24"/>
        <v>0</v>
      </c>
    </row>
    <row r="124" spans="1:48" ht="26.25" hidden="1" customHeight="1">
      <c r="A124" s="5">
        <f>IF(AT_2015[[#This Row],[Data ]]&gt;1,1,0)</f>
        <v>0</v>
      </c>
      <c r="B124" s="75"/>
      <c r="C124" s="76"/>
      <c r="D124" s="77"/>
      <c r="E124" s="9"/>
      <c r="F124" s="194"/>
      <c r="G124" s="9"/>
      <c r="H124" s="10"/>
      <c r="I124" s="10"/>
      <c r="J124" s="9"/>
      <c r="K124" s="9"/>
      <c r="L124" s="9"/>
      <c r="M124" s="11"/>
      <c r="N124" s="9"/>
      <c r="O124" s="12"/>
      <c r="P124" s="13"/>
      <c r="Q124" s="9"/>
      <c r="R124" s="14"/>
      <c r="S124" s="13"/>
      <c r="T124" s="15"/>
      <c r="U124" s="15"/>
      <c r="V124" s="15"/>
      <c r="W124" s="15"/>
      <c r="X124" s="15"/>
      <c r="Y124" s="16">
        <f>SUM(AT_2015[[#This Row],[Mão de obra]:[Outros]])</f>
        <v>0</v>
      </c>
      <c r="Z124" s="19"/>
      <c r="AA124" s="19">
        <f>IF(AT_2015[[#This Row],[Correio]]&gt;0,1,0)</f>
        <v>0</v>
      </c>
      <c r="AB124" s="154" t="str">
        <f>IF(AT_2015[[#This Row],[Correio]]&gt;0,"sim","não")</f>
        <v>não</v>
      </c>
      <c r="AC124" s="130" t="str">
        <f t="shared" si="25"/>
        <v/>
      </c>
      <c r="AD124" s="131" t="str">
        <f t="shared" si="26"/>
        <v/>
      </c>
      <c r="AE124" s="132" t="str">
        <f t="shared" si="27"/>
        <v/>
      </c>
      <c r="AF124" s="132" t="str">
        <f t="shared" si="28"/>
        <v/>
      </c>
      <c r="AG124" s="132" t="str">
        <f t="shared" si="29"/>
        <v/>
      </c>
      <c r="AH124" s="132" t="str">
        <f t="shared" si="30"/>
        <v/>
      </c>
      <c r="AI124" s="125"/>
      <c r="AJ124" s="125"/>
      <c r="AK124" s="125"/>
      <c r="AL124" s="125"/>
      <c r="AM124" s="125"/>
      <c r="AN124" s="125"/>
      <c r="AO124" s="125"/>
      <c r="AP124" s="137"/>
      <c r="AQ124" s="125"/>
      <c r="AR124" s="125"/>
      <c r="AS124" s="125"/>
      <c r="AT124" s="125"/>
      <c r="AU124" s="135" t="str">
        <f t="shared" si="23"/>
        <v/>
      </c>
      <c r="AV124" s="136">
        <f t="shared" si="24"/>
        <v>0</v>
      </c>
    </row>
    <row r="125" spans="1:48" ht="26.25" hidden="1" customHeight="1">
      <c r="A125" s="5">
        <f>IF(AT_2015[[#This Row],[Data ]]&gt;1,1,0)</f>
        <v>0</v>
      </c>
      <c r="B125" s="75"/>
      <c r="C125" s="76"/>
      <c r="D125" s="77"/>
      <c r="E125" s="9"/>
      <c r="F125" s="194"/>
      <c r="G125" s="9"/>
      <c r="H125" s="10"/>
      <c r="I125" s="10"/>
      <c r="J125" s="9"/>
      <c r="K125" s="9"/>
      <c r="L125" s="9"/>
      <c r="M125" s="11"/>
      <c r="N125" s="9"/>
      <c r="O125" s="12"/>
      <c r="P125" s="13"/>
      <c r="Q125" s="9"/>
      <c r="R125" s="14"/>
      <c r="S125" s="13"/>
      <c r="T125" s="15"/>
      <c r="U125" s="15"/>
      <c r="V125" s="15"/>
      <c r="W125" s="15"/>
      <c r="X125" s="15"/>
      <c r="Y125" s="16">
        <f>SUM(AT_2015[[#This Row],[Mão de obra]:[Outros]])</f>
        <v>0</v>
      </c>
      <c r="Z125" s="19"/>
      <c r="AA125" s="19">
        <f>IF(AT_2015[[#This Row],[Correio]]&gt;0,1,0)</f>
        <v>0</v>
      </c>
      <c r="AB125" s="154" t="str">
        <f>IF(AT_2015[[#This Row],[Correio]]&gt;0,"sim","não")</f>
        <v>não</v>
      </c>
      <c r="AC125" s="130" t="str">
        <f t="shared" si="25"/>
        <v/>
      </c>
      <c r="AD125" s="131" t="str">
        <f t="shared" si="26"/>
        <v/>
      </c>
      <c r="AE125" s="132" t="str">
        <f t="shared" si="27"/>
        <v/>
      </c>
      <c r="AF125" s="132" t="str">
        <f t="shared" si="28"/>
        <v/>
      </c>
      <c r="AG125" s="132" t="str">
        <f t="shared" si="29"/>
        <v/>
      </c>
      <c r="AH125" s="132" t="str">
        <f t="shared" si="30"/>
        <v/>
      </c>
      <c r="AI125" s="125"/>
      <c r="AJ125" s="125"/>
      <c r="AK125" s="125"/>
      <c r="AL125" s="125"/>
      <c r="AM125" s="125"/>
      <c r="AN125" s="125"/>
      <c r="AO125" s="125"/>
      <c r="AP125" s="137"/>
      <c r="AQ125" s="125"/>
      <c r="AR125" s="125"/>
      <c r="AS125" s="125"/>
      <c r="AT125" s="125"/>
      <c r="AU125" s="135" t="str">
        <f t="shared" si="23"/>
        <v/>
      </c>
      <c r="AV125" s="136">
        <f t="shared" si="24"/>
        <v>0</v>
      </c>
    </row>
    <row r="126" spans="1:48" ht="26.25" customHeight="1">
      <c r="A126" s="125">
        <f ca="1">SUM(A5:A126)</f>
        <v>116</v>
      </c>
      <c r="B126" s="144">
        <f>SUBTOTAL(103,AT_2015[[Data ]])</f>
        <v>31</v>
      </c>
      <c r="C126" s="144">
        <f>SUBTOTAL(103,AT_2015[Mês])</f>
        <v>31</v>
      </c>
      <c r="D126" s="144">
        <f>SUBTOTAL(103,AT_2015[Local])</f>
        <v>31</v>
      </c>
      <c r="E126" s="144">
        <f>SUBTOTAL(103,AT_2015[Cliente])</f>
        <v>31</v>
      </c>
      <c r="F126" s="199">
        <f>SUBTOTAL(103,AT_2015[Nº SAT])</f>
        <v>31</v>
      </c>
      <c r="G126" s="144">
        <f>SUBTOTAL(103,AT_2015[Consumidor])</f>
        <v>31</v>
      </c>
      <c r="H126" s="144">
        <f>SUBTOTAL(103,AT_2015[Qtd])</f>
        <v>31</v>
      </c>
      <c r="I126" s="144">
        <f>SUBTOTAL(103,AT_2015[Produto])</f>
        <v>31</v>
      </c>
      <c r="J126" s="144">
        <f>SUBTOTAL(103,AT_2015[Descrição do Produto])</f>
        <v>31</v>
      </c>
      <c r="K126" s="144">
        <f>SUBTOTAL(103,AT_2015[Fornecedor])</f>
        <v>30</v>
      </c>
      <c r="L126" s="144">
        <f>SUBTOTAL(103,AT_2015[Problema])</f>
        <v>31</v>
      </c>
      <c r="M126" s="144">
        <f>SUBTOTAL(103,AT_2015[Responsável])</f>
        <v>31</v>
      </c>
      <c r="N126" s="144">
        <f>SUBTOTAL(103,AT_2015[Defeito informado pelo cliente])</f>
        <v>31</v>
      </c>
      <c r="O126" s="144">
        <f>SUBTOTAL(103,AT_2015[Defeito constatado pelo técnico])</f>
        <v>31</v>
      </c>
      <c r="P126" s="144">
        <f>SUBTOTAL(103,AT_2015[Troca])</f>
        <v>31</v>
      </c>
      <c r="Q126" s="144">
        <f>SUBTOTAL(103,AT_2015[Serviço executado pelo técnico])</f>
        <v>31</v>
      </c>
      <c r="R126" s="144">
        <f>SUBTOTAL(103,AT_2015[Código do Produto])</f>
        <v>0</v>
      </c>
      <c r="S126" s="144">
        <f>SUBTOTAL(103,AT_2015[Solicitar Reposição])</f>
        <v>31</v>
      </c>
      <c r="T126" s="184">
        <f>SUBTOTAL(109,AT_2015[Mão de obra])</f>
        <v>1985</v>
      </c>
      <c r="U126" s="184">
        <f>SUBTOTAL(109,AT_2015[Deslocamento])</f>
        <v>2038.53</v>
      </c>
      <c r="V126" s="184">
        <f>SUBTOTAL(109,AT_2015[Correio])</f>
        <v>327</v>
      </c>
      <c r="W126" s="184">
        <f>SUBTOTAL(109,AT_2015[Pedágio])</f>
        <v>0</v>
      </c>
      <c r="X126" s="185">
        <f>SUBTOTAL(109,AT_2015[Outros])</f>
        <v>0</v>
      </c>
      <c r="Y126" s="145">
        <f>SUBTOTAL(109,AT_2015[[Custo Total ]])</f>
        <v>4350.53</v>
      </c>
      <c r="Z126" s="146"/>
      <c r="AA126" s="146"/>
      <c r="AB126" s="153"/>
      <c r="AC126" s="130" t="str">
        <f t="shared" si="25"/>
        <v>3101190031</v>
      </c>
      <c r="AD126" s="131">
        <f t="shared" si="26"/>
        <v>31</v>
      </c>
      <c r="AE126" s="132">
        <f t="shared" si="27"/>
        <v>1985</v>
      </c>
      <c r="AF126" s="132">
        <f t="shared" si="28"/>
        <v>2038.53</v>
      </c>
      <c r="AG126" s="132">
        <f t="shared" si="29"/>
        <v>327</v>
      </c>
      <c r="AH126" s="132">
        <f t="shared" si="30"/>
        <v>0</v>
      </c>
      <c r="AI126" s="125"/>
      <c r="AJ126" s="125"/>
      <c r="AK126" s="125"/>
      <c r="AL126" s="125"/>
      <c r="AM126" s="125"/>
      <c r="AN126" s="125"/>
      <c r="AO126" s="125"/>
      <c r="AP126" s="137"/>
      <c r="AQ126" s="125"/>
      <c r="AR126" s="125"/>
      <c r="AS126" s="125"/>
      <c r="AT126" s="125"/>
      <c r="AU126" s="5"/>
      <c r="AV126" s="138"/>
    </row>
    <row r="127" spans="1:48" ht="20.25" customHeight="1">
      <c r="A127" s="66"/>
      <c r="B127" s="141">
        <f>AT_2015[[#Totals],[Data ]]</f>
        <v>31</v>
      </c>
      <c r="C127" s="141">
        <f>AT_2015[[#Totals],[Mês]]</f>
        <v>31</v>
      </c>
      <c r="D127" s="141">
        <f>AT_2015[[#Totals],[Local]]</f>
        <v>31</v>
      </c>
      <c r="E127" s="141">
        <f>AT_2015[[#Totals],[Cliente]]</f>
        <v>31</v>
      </c>
      <c r="F127" s="195">
        <f>AT_2015[[#Totals],[Nº SAT]]</f>
        <v>31</v>
      </c>
      <c r="G127" s="141">
        <f>AT_2015[[#Totals],[Consumidor]]</f>
        <v>31</v>
      </c>
      <c r="H127" s="141">
        <f>AT_2015[[#Totals],[Qtd]]</f>
        <v>31</v>
      </c>
      <c r="I127" s="141">
        <f>AT_2015[[#Totals],[Produto]]</f>
        <v>31</v>
      </c>
      <c r="J127" s="141">
        <f>AT_2015[[#Totals],[Descrição do Produto]]</f>
        <v>31</v>
      </c>
      <c r="K127" s="141">
        <f>AT_2015[[#Totals],[Fornecedor]]</f>
        <v>30</v>
      </c>
      <c r="L127" s="141">
        <f>AT_2015[[#Totals],[Problema]]</f>
        <v>31</v>
      </c>
      <c r="M127" s="141">
        <f>AT_2015[[#Totals],[Responsável]]</f>
        <v>31</v>
      </c>
      <c r="N127" s="141">
        <f>AT_2015[[#Totals],[Defeito informado pelo cliente]]</f>
        <v>31</v>
      </c>
      <c r="O127" s="141">
        <f>AT_2015[[#Totals],[Defeito constatado pelo técnico]]</f>
        <v>31</v>
      </c>
      <c r="P127" s="141">
        <f>AT_2015[[#Totals],[Troca]]</f>
        <v>31</v>
      </c>
      <c r="Q127" s="141">
        <f>AT_2015[[#Totals],[Serviço executado pelo técnico]]</f>
        <v>31</v>
      </c>
      <c r="R127" s="141">
        <f>AT_2015[[#Totals],[Código do Produto]]</f>
        <v>0</v>
      </c>
      <c r="S127" s="141">
        <f>AT_2015[[#Totals],[Solicitar Reposição]]</f>
        <v>31</v>
      </c>
      <c r="T127" s="29"/>
      <c r="U127" s="29"/>
      <c r="V127" s="29"/>
      <c r="W127" s="29"/>
      <c r="X127" s="29"/>
      <c r="Y127" s="30"/>
      <c r="Z127" s="17"/>
      <c r="AA127" s="17"/>
      <c r="AB127" s="17"/>
      <c r="AC127" s="130" t="str">
        <f t="shared" si="25"/>
        <v>3101190031</v>
      </c>
      <c r="AD127" s="131">
        <f t="shared" si="26"/>
        <v>31</v>
      </c>
      <c r="AE127" s="132">
        <f t="shared" si="27"/>
        <v>0</v>
      </c>
      <c r="AF127" s="132">
        <f t="shared" si="28"/>
        <v>0</v>
      </c>
      <c r="AG127" s="132">
        <f t="shared" si="29"/>
        <v>0</v>
      </c>
      <c r="AH127" s="132">
        <f t="shared" si="30"/>
        <v>0</v>
      </c>
      <c r="AI127" s="125"/>
      <c r="AJ127" s="125"/>
      <c r="AK127" s="125"/>
      <c r="AL127" s="125"/>
      <c r="AM127" s="125"/>
      <c r="AN127" s="125"/>
      <c r="AO127" s="125"/>
      <c r="AP127" s="137"/>
      <c r="AQ127" s="125"/>
      <c r="AR127" s="125"/>
      <c r="AS127" s="125"/>
      <c r="AT127" s="125"/>
      <c r="AU127" s="5"/>
      <c r="AV127" s="138"/>
    </row>
    <row r="128" spans="1:48" ht="20.25" customHeight="1">
      <c r="A128" s="134">
        <f>AT_2015[[#Totals],[Nº SAT]]</f>
        <v>31</v>
      </c>
      <c r="B128" s="141">
        <f>B127-$A$128</f>
        <v>0</v>
      </c>
      <c r="C128" s="141">
        <f t="shared" ref="C128:S128" si="31">C127-$A$128</f>
        <v>0</v>
      </c>
      <c r="D128" s="141">
        <f t="shared" si="31"/>
        <v>0</v>
      </c>
      <c r="E128" s="141">
        <f t="shared" si="31"/>
        <v>0</v>
      </c>
      <c r="F128" s="195">
        <f t="shared" si="31"/>
        <v>0</v>
      </c>
      <c r="G128" s="141">
        <f t="shared" si="31"/>
        <v>0</v>
      </c>
      <c r="H128" s="141">
        <f t="shared" si="31"/>
        <v>0</v>
      </c>
      <c r="I128" s="141">
        <f t="shared" si="31"/>
        <v>0</v>
      </c>
      <c r="J128" s="141">
        <f t="shared" si="31"/>
        <v>0</v>
      </c>
      <c r="K128" s="141">
        <f t="shared" si="31"/>
        <v>-1</v>
      </c>
      <c r="L128" s="141">
        <f t="shared" si="31"/>
        <v>0</v>
      </c>
      <c r="M128" s="141">
        <f t="shared" si="31"/>
        <v>0</v>
      </c>
      <c r="N128" s="141">
        <f t="shared" si="31"/>
        <v>0</v>
      </c>
      <c r="O128" s="141">
        <f t="shared" si="31"/>
        <v>0</v>
      </c>
      <c r="P128" s="141">
        <f t="shared" si="31"/>
        <v>0</v>
      </c>
      <c r="Q128" s="141">
        <f t="shared" si="31"/>
        <v>0</v>
      </c>
      <c r="R128" s="141">
        <f t="shared" si="31"/>
        <v>-31</v>
      </c>
      <c r="S128" s="141">
        <f t="shared" si="31"/>
        <v>0</v>
      </c>
      <c r="T128" s="29"/>
      <c r="U128" s="29"/>
      <c r="V128" s="29"/>
      <c r="W128" s="29"/>
      <c r="X128" s="29"/>
      <c r="Y128" s="30"/>
      <c r="Z128" s="17"/>
      <c r="AA128" s="17"/>
      <c r="AB128" s="17"/>
      <c r="AC128" s="130" t="str">
        <f t="shared" si="25"/>
        <v>000119000</v>
      </c>
      <c r="AD128" s="131">
        <f t="shared" si="26"/>
        <v>0</v>
      </c>
      <c r="AE128" s="132">
        <f t="shared" si="27"/>
        <v>0</v>
      </c>
      <c r="AF128" s="132">
        <f t="shared" si="28"/>
        <v>0</v>
      </c>
      <c r="AG128" s="132">
        <f t="shared" si="29"/>
        <v>0</v>
      </c>
      <c r="AH128" s="132">
        <f t="shared" si="30"/>
        <v>0</v>
      </c>
      <c r="AI128" s="125"/>
      <c r="AJ128" s="125"/>
      <c r="AK128" s="125"/>
      <c r="AL128" s="125"/>
      <c r="AM128" s="125"/>
      <c r="AN128" s="125"/>
      <c r="AO128" s="125"/>
      <c r="AP128" s="137"/>
      <c r="AQ128" s="125"/>
      <c r="AR128" s="125"/>
      <c r="AS128" s="125"/>
      <c r="AT128" s="125"/>
      <c r="AU128" s="5"/>
      <c r="AV128" s="138"/>
    </row>
    <row r="129" spans="2:48" ht="20.25" customHeight="1">
      <c r="B129" s="205" t="s">
        <v>154</v>
      </c>
      <c r="C129" s="205"/>
      <c r="D129" s="205"/>
      <c r="E129" s="205"/>
      <c r="F129" s="205"/>
      <c r="G129" s="205"/>
      <c r="H129" s="205"/>
      <c r="I129" s="205"/>
      <c r="J129" s="205"/>
      <c r="K129" s="205"/>
      <c r="L129" s="205"/>
      <c r="M129" s="205"/>
      <c r="N129" s="205"/>
      <c r="O129" s="205"/>
      <c r="P129" s="205"/>
      <c r="Q129" s="205"/>
      <c r="R129" s="205"/>
      <c r="S129" s="28"/>
      <c r="T129" s="29"/>
      <c r="U129" s="29"/>
      <c r="V129" s="29"/>
      <c r="W129" s="29"/>
      <c r="X129" s="29"/>
      <c r="Y129" s="30"/>
      <c r="Z129" s="17"/>
      <c r="AA129" s="17"/>
      <c r="AU129" s="5"/>
      <c r="AV129" s="138"/>
    </row>
    <row r="130" spans="2:48" ht="20.25" customHeight="1">
      <c r="B130" s="20"/>
      <c r="C130" s="21"/>
      <c r="D130" s="21"/>
      <c r="E130" s="22"/>
      <c r="F130" s="196"/>
      <c r="G130" s="22"/>
      <c r="H130" s="23"/>
      <c r="I130" s="23"/>
      <c r="J130" s="22"/>
      <c r="K130" s="22"/>
      <c r="L130" s="22"/>
      <c r="M130" s="24"/>
      <c r="N130" s="22"/>
      <c r="O130" s="25"/>
      <c r="P130" s="26"/>
      <c r="Q130" s="22"/>
      <c r="R130" s="27"/>
      <c r="S130" s="28"/>
      <c r="T130" s="29"/>
      <c r="U130" s="29"/>
      <c r="V130" s="29"/>
      <c r="W130" s="29"/>
      <c r="X130" s="29"/>
      <c r="Y130" s="30"/>
      <c r="Z130" s="17"/>
      <c r="AA130" s="17"/>
      <c r="AU130" s="5"/>
      <c r="AV130" s="138"/>
    </row>
    <row r="131" spans="2:48" ht="20.25" customHeight="1">
      <c r="B131" s="20"/>
      <c r="C131" s="21"/>
      <c r="D131" s="21"/>
      <c r="E131" s="22"/>
      <c r="F131" s="196"/>
      <c r="G131" s="22"/>
      <c r="H131" s="23"/>
      <c r="I131" s="23"/>
      <c r="J131" s="22"/>
      <c r="K131" s="22"/>
      <c r="L131" s="22"/>
      <c r="M131" s="24"/>
      <c r="N131" s="22"/>
      <c r="O131" s="25"/>
      <c r="P131" s="26"/>
      <c r="Q131" s="22"/>
      <c r="R131" s="27"/>
      <c r="S131" s="28"/>
      <c r="T131" s="29"/>
      <c r="U131" s="29"/>
      <c r="V131" s="29"/>
      <c r="W131" s="29"/>
      <c r="X131" s="29"/>
      <c r="Y131" s="30"/>
      <c r="Z131" s="17"/>
      <c r="AA131" s="17"/>
      <c r="AU131" s="5"/>
      <c r="AV131" s="138"/>
    </row>
    <row r="132" spans="2:48" ht="20.25" customHeight="1">
      <c r="B132" s="20"/>
      <c r="C132" s="21"/>
      <c r="D132" s="21"/>
      <c r="E132" s="22"/>
      <c r="F132" s="196"/>
      <c r="G132" s="22"/>
      <c r="H132" s="23"/>
      <c r="I132" s="23"/>
      <c r="J132" s="22"/>
      <c r="K132" s="22"/>
      <c r="L132" s="22"/>
      <c r="M132" s="24"/>
      <c r="N132" s="22"/>
      <c r="O132" s="25"/>
      <c r="P132" s="26"/>
      <c r="Q132" s="22"/>
      <c r="R132" s="27"/>
      <c r="S132" s="28"/>
      <c r="T132" s="29"/>
      <c r="U132" s="29"/>
      <c r="V132" s="29"/>
      <c r="W132" s="29"/>
      <c r="X132" s="29"/>
      <c r="Y132" s="30"/>
      <c r="Z132" s="17"/>
      <c r="AA132" s="17"/>
      <c r="AU132" s="5"/>
      <c r="AV132" s="138"/>
    </row>
    <row r="133" spans="2:48" ht="20.25" customHeight="1">
      <c r="B133" s="20"/>
      <c r="C133" s="21"/>
      <c r="D133" s="21"/>
      <c r="E133" s="22"/>
      <c r="F133" s="196"/>
      <c r="G133" s="22"/>
      <c r="H133" s="23"/>
      <c r="I133" s="23"/>
      <c r="J133" s="22"/>
      <c r="K133" s="22"/>
      <c r="L133" s="22"/>
      <c r="M133" s="24"/>
      <c r="N133" s="22"/>
      <c r="O133" s="25"/>
      <c r="P133" s="26"/>
      <c r="Q133" s="22"/>
      <c r="R133" s="27"/>
      <c r="S133" s="28"/>
      <c r="T133" s="29"/>
      <c r="U133" s="29"/>
      <c r="V133" s="29"/>
      <c r="W133" s="29"/>
      <c r="X133" s="29"/>
      <c r="Y133" s="30"/>
      <c r="Z133" s="17"/>
      <c r="AA133" s="17"/>
      <c r="AU133" s="5"/>
      <c r="AV133" s="138"/>
    </row>
    <row r="134" spans="2:48" ht="20.25" customHeight="1">
      <c r="B134" s="20"/>
      <c r="C134" s="21"/>
      <c r="D134" s="21"/>
      <c r="E134" s="22"/>
      <c r="F134" s="196"/>
      <c r="G134" s="22"/>
      <c r="H134" s="23"/>
      <c r="I134" s="23"/>
      <c r="J134" s="22"/>
      <c r="K134" s="22"/>
      <c r="L134" s="22"/>
      <c r="M134" s="24"/>
      <c r="N134" s="22"/>
      <c r="O134" s="25"/>
      <c r="P134" s="26"/>
      <c r="Q134" s="22"/>
      <c r="R134" s="27"/>
      <c r="S134" s="28"/>
      <c r="T134" s="29"/>
      <c r="U134" s="29"/>
      <c r="V134" s="29"/>
      <c r="W134" s="29"/>
      <c r="X134" s="29"/>
      <c r="Y134" s="30"/>
      <c r="Z134" s="17"/>
      <c r="AA134" s="17"/>
      <c r="AU134" s="5"/>
      <c r="AV134" s="138"/>
    </row>
    <row r="135" spans="2:48" ht="20.25" customHeight="1">
      <c r="B135" s="20"/>
      <c r="C135" s="21"/>
      <c r="D135" s="21"/>
      <c r="E135" s="22"/>
      <c r="F135" s="196"/>
      <c r="G135" s="22"/>
      <c r="H135" s="23"/>
      <c r="I135" s="23"/>
      <c r="J135" s="22"/>
      <c r="K135" s="22"/>
      <c r="L135" s="22"/>
      <c r="M135" s="24"/>
      <c r="N135" s="22"/>
      <c r="O135" s="25"/>
      <c r="P135" s="26"/>
      <c r="Q135" s="22"/>
      <c r="R135" s="27"/>
      <c r="S135" s="28"/>
      <c r="T135" s="29"/>
      <c r="U135" s="29"/>
      <c r="V135" s="29"/>
      <c r="W135" s="29"/>
      <c r="X135" s="29"/>
      <c r="Y135" s="30"/>
      <c r="Z135" s="17"/>
      <c r="AA135" s="17"/>
      <c r="AU135" s="5"/>
      <c r="AV135" s="138"/>
    </row>
    <row r="136" spans="2:48" ht="20.25" customHeight="1">
      <c r="B136" s="20"/>
      <c r="C136" s="21"/>
      <c r="D136" s="21"/>
      <c r="E136" s="22"/>
      <c r="F136" s="196"/>
      <c r="G136" s="22"/>
      <c r="H136" s="23"/>
      <c r="I136" s="23"/>
      <c r="J136" s="22"/>
      <c r="K136" s="22"/>
      <c r="L136" s="22"/>
      <c r="M136" s="24"/>
      <c r="N136" s="22"/>
      <c r="O136" s="25"/>
      <c r="P136" s="26"/>
      <c r="Q136" s="22"/>
      <c r="R136" s="27"/>
      <c r="S136" s="28"/>
      <c r="T136" s="29"/>
      <c r="U136" s="29"/>
      <c r="V136" s="29"/>
      <c r="W136" s="29"/>
      <c r="X136" s="29"/>
      <c r="Y136" s="30"/>
      <c r="Z136" s="17"/>
      <c r="AA136" s="17"/>
      <c r="AU136" s="5"/>
      <c r="AV136" s="138"/>
    </row>
    <row r="137" spans="2:48" ht="20.25" customHeight="1">
      <c r="B137" s="20"/>
      <c r="C137" s="21"/>
      <c r="D137" s="21"/>
      <c r="E137" s="22"/>
      <c r="F137" s="196">
        <f>COUNTBLANK(AT_2015[Nº SAT])</f>
        <v>90</v>
      </c>
      <c r="G137" s="22"/>
      <c r="H137" s="23"/>
      <c r="I137" s="23"/>
      <c r="J137" s="22"/>
      <c r="K137" s="22"/>
      <c r="L137" s="22"/>
      <c r="M137" s="24"/>
      <c r="N137" s="22"/>
      <c r="O137" s="25"/>
      <c r="P137" s="26"/>
      <c r="Q137" s="22"/>
      <c r="R137" s="27"/>
      <c r="S137" s="28"/>
      <c r="T137" s="29"/>
      <c r="U137" s="29"/>
      <c r="V137" s="29"/>
      <c r="W137" s="29"/>
      <c r="X137" s="29"/>
      <c r="Y137" s="30"/>
      <c r="Z137" s="17"/>
      <c r="AA137" s="17"/>
      <c r="AU137" s="5"/>
      <c r="AV137" s="138"/>
    </row>
    <row r="138" spans="2:48" ht="20.25" customHeight="1">
      <c r="B138" s="20"/>
      <c r="C138" s="21"/>
      <c r="D138" s="21"/>
      <c r="E138" s="22"/>
      <c r="F138" s="196"/>
      <c r="G138" s="22"/>
      <c r="H138" s="23"/>
      <c r="I138" s="23"/>
      <c r="J138" s="22"/>
      <c r="K138" s="22"/>
      <c r="L138" s="22"/>
      <c r="M138" s="24"/>
      <c r="N138" s="22"/>
      <c r="O138" s="25"/>
      <c r="P138" s="26"/>
      <c r="Q138" s="22"/>
      <c r="R138" s="27"/>
      <c r="S138" s="28"/>
      <c r="T138" s="29"/>
      <c r="U138" s="29"/>
      <c r="V138" s="29"/>
      <c r="W138" s="29"/>
      <c r="X138" s="29"/>
      <c r="Y138" s="30"/>
      <c r="Z138" s="17"/>
      <c r="AA138" s="17"/>
      <c r="AU138" s="5"/>
      <c r="AV138" s="138"/>
    </row>
    <row r="139" spans="2:48" ht="20.25" customHeight="1">
      <c r="B139" s="20"/>
      <c r="C139" s="21"/>
      <c r="D139" s="21"/>
      <c r="E139" s="22"/>
      <c r="F139" s="196"/>
      <c r="G139" s="22"/>
      <c r="H139" s="23"/>
      <c r="I139" s="23"/>
      <c r="J139" s="22"/>
      <c r="K139" s="22"/>
      <c r="L139" s="22"/>
      <c r="M139" s="24"/>
      <c r="N139" s="22"/>
      <c r="O139" s="25"/>
      <c r="P139" s="26"/>
      <c r="Q139" s="22"/>
      <c r="R139" s="27"/>
      <c r="S139" s="28"/>
      <c r="T139" s="29"/>
      <c r="U139" s="29"/>
      <c r="V139" s="29"/>
      <c r="W139" s="29"/>
      <c r="X139" s="29"/>
      <c r="Y139" s="30"/>
      <c r="Z139" s="17"/>
      <c r="AA139" s="17"/>
      <c r="AU139" s="5"/>
      <c r="AV139" s="138"/>
    </row>
    <row r="140" spans="2:48" ht="20.25" customHeight="1">
      <c r="B140" s="20"/>
      <c r="C140" s="21"/>
      <c r="D140" s="21"/>
      <c r="E140" s="22"/>
      <c r="F140" s="196">
        <f>COUNT(AT_2015[[#Data],[#Totals],[Nº SAT]])</f>
        <v>1</v>
      </c>
      <c r="G140" s="22"/>
      <c r="H140" s="23"/>
      <c r="I140" s="23"/>
      <c r="J140" s="22"/>
      <c r="K140" s="22"/>
      <c r="L140" s="22"/>
      <c r="M140" s="24"/>
      <c r="N140" s="22"/>
      <c r="O140" s="25"/>
      <c r="P140" s="26"/>
      <c r="Q140" s="22"/>
      <c r="R140" s="27"/>
      <c r="S140" s="28"/>
      <c r="T140" s="29"/>
      <c r="U140" s="29"/>
      <c r="V140" s="29"/>
      <c r="W140" s="29"/>
      <c r="X140" s="29"/>
      <c r="Y140" s="30"/>
      <c r="Z140" s="17"/>
      <c r="AA140" s="17"/>
      <c r="AU140" s="5"/>
      <c r="AV140" s="138"/>
    </row>
    <row r="141" spans="2:48" ht="20.25" customHeight="1">
      <c r="B141" s="20"/>
      <c r="C141" s="21"/>
      <c r="D141" s="21"/>
      <c r="E141" s="22"/>
      <c r="F141" s="196"/>
      <c r="G141" s="22"/>
      <c r="H141" s="23"/>
      <c r="I141" s="23"/>
      <c r="J141" s="22"/>
      <c r="K141" s="22"/>
      <c r="L141" s="22"/>
      <c r="M141" s="24"/>
      <c r="N141" s="22"/>
      <c r="O141" s="25"/>
      <c r="P141" s="26"/>
      <c r="Q141" s="22"/>
      <c r="R141" s="27"/>
      <c r="S141" s="28"/>
      <c r="T141" s="29"/>
      <c r="U141" s="29"/>
      <c r="V141" s="29"/>
      <c r="W141" s="29"/>
      <c r="X141" s="29"/>
      <c r="Y141" s="30"/>
      <c r="Z141" s="17"/>
      <c r="AA141" s="17"/>
      <c r="AU141" s="5"/>
      <c r="AV141" s="138"/>
    </row>
    <row r="142" spans="2:48" ht="20.25" customHeight="1">
      <c r="B142" s="20"/>
      <c r="C142" s="21"/>
      <c r="D142" s="21"/>
      <c r="E142" s="22"/>
      <c r="F142" s="196"/>
      <c r="G142" s="22"/>
      <c r="H142" s="23"/>
      <c r="I142" s="23"/>
      <c r="J142" s="22"/>
      <c r="K142" s="22"/>
      <c r="L142" s="22"/>
      <c r="M142" s="24"/>
      <c r="N142" s="22"/>
      <c r="O142" s="25"/>
      <c r="P142" s="26"/>
      <c r="Q142" s="22"/>
      <c r="R142" s="27"/>
      <c r="S142" s="28"/>
      <c r="T142" s="29"/>
      <c r="U142" s="29"/>
      <c r="V142" s="29"/>
      <c r="W142" s="29"/>
      <c r="X142" s="29"/>
      <c r="Y142" s="30"/>
      <c r="Z142" s="17"/>
      <c r="AA142" s="17"/>
      <c r="AU142" s="5"/>
      <c r="AV142" s="138"/>
    </row>
    <row r="143" spans="2:48" ht="20.25" customHeight="1">
      <c r="B143" s="20"/>
      <c r="C143" s="21"/>
      <c r="D143" s="21"/>
      <c r="E143" s="22"/>
      <c r="F143" s="196"/>
      <c r="G143" s="22"/>
      <c r="H143" s="23"/>
      <c r="I143" s="23"/>
      <c r="J143" s="22"/>
      <c r="K143" s="22"/>
      <c r="L143" s="22"/>
      <c r="M143" s="24"/>
      <c r="N143" s="22"/>
      <c r="O143" s="25"/>
      <c r="P143" s="26"/>
      <c r="Q143" s="22"/>
      <c r="R143" s="27"/>
      <c r="S143" s="28"/>
      <c r="T143" s="29"/>
      <c r="U143" s="29"/>
      <c r="V143" s="29"/>
      <c r="W143" s="29"/>
      <c r="X143" s="29"/>
      <c r="Y143" s="30"/>
      <c r="Z143" s="17"/>
      <c r="AA143" s="17"/>
    </row>
    <row r="144" spans="2:48" ht="20.25" customHeight="1">
      <c r="B144" s="20"/>
      <c r="C144" s="21"/>
      <c r="D144" s="21"/>
      <c r="E144" s="22"/>
      <c r="F144" s="196"/>
      <c r="G144" s="22"/>
      <c r="H144" s="23"/>
      <c r="I144" s="23"/>
      <c r="J144" s="22"/>
      <c r="K144" s="22"/>
      <c r="L144" s="22"/>
      <c r="M144" s="24"/>
      <c r="N144" s="22"/>
      <c r="O144" s="25"/>
      <c r="P144" s="26"/>
      <c r="Q144" s="22"/>
      <c r="R144" s="27"/>
      <c r="S144" s="28"/>
      <c r="T144" s="29"/>
      <c r="U144" s="29"/>
      <c r="V144" s="29"/>
      <c r="W144" s="29"/>
      <c r="X144" s="29"/>
      <c r="Y144" s="30"/>
      <c r="Z144" s="17"/>
      <c r="AA144" s="17"/>
    </row>
    <row r="145" spans="2:27" ht="20.25" customHeight="1">
      <c r="B145" s="20"/>
      <c r="C145" s="21"/>
      <c r="D145" s="21"/>
      <c r="E145" s="22"/>
      <c r="F145" s="196"/>
      <c r="G145" s="22"/>
      <c r="H145" s="23"/>
      <c r="I145" s="23"/>
      <c r="J145" s="22"/>
      <c r="K145" s="22"/>
      <c r="L145" s="22"/>
      <c r="M145" s="24"/>
      <c r="N145" s="22"/>
      <c r="O145" s="25"/>
      <c r="P145" s="26"/>
      <c r="Q145" s="22"/>
      <c r="R145" s="27"/>
      <c r="S145" s="28"/>
      <c r="T145" s="29"/>
      <c r="U145" s="29"/>
      <c r="V145" s="29"/>
      <c r="W145" s="29"/>
      <c r="X145" s="29"/>
      <c r="Y145" s="30"/>
      <c r="Z145" s="17"/>
      <c r="AA145" s="17"/>
    </row>
    <row r="146" spans="2:27" ht="20.25" customHeight="1">
      <c r="B146" s="20"/>
      <c r="C146" s="21"/>
      <c r="D146" s="21"/>
      <c r="E146" s="22"/>
      <c r="F146" s="196"/>
      <c r="G146" s="22"/>
      <c r="H146" s="23"/>
      <c r="I146" s="23"/>
      <c r="J146" s="22"/>
      <c r="K146" s="22"/>
      <c r="L146" s="22"/>
      <c r="M146" s="24"/>
      <c r="N146" s="22"/>
      <c r="O146" s="25"/>
      <c r="P146" s="26"/>
      <c r="Q146" s="22"/>
      <c r="R146" s="27"/>
      <c r="S146" s="28"/>
      <c r="T146" s="29"/>
      <c r="U146" s="29"/>
      <c r="V146" s="29"/>
      <c r="W146" s="29"/>
      <c r="X146" s="29"/>
      <c r="Y146" s="30"/>
      <c r="Z146" s="17"/>
      <c r="AA146" s="17"/>
    </row>
    <row r="147" spans="2:27" ht="20.25" customHeight="1">
      <c r="B147" s="20"/>
      <c r="C147" s="21"/>
      <c r="D147" s="21"/>
      <c r="E147" s="22"/>
      <c r="F147" s="196"/>
      <c r="G147" s="22"/>
      <c r="H147" s="23"/>
      <c r="I147" s="23"/>
      <c r="J147" s="22"/>
      <c r="K147" s="22"/>
      <c r="L147" s="22"/>
      <c r="M147" s="24"/>
      <c r="N147" s="22"/>
      <c r="O147" s="25"/>
      <c r="P147" s="26"/>
      <c r="Q147" s="22"/>
      <c r="R147" s="27"/>
      <c r="S147" s="28"/>
      <c r="T147" s="29"/>
      <c r="U147" s="29"/>
      <c r="V147" s="29"/>
      <c r="W147" s="29"/>
      <c r="X147" s="29"/>
      <c r="Y147" s="30"/>
      <c r="Z147" s="17"/>
      <c r="AA147" s="17"/>
    </row>
    <row r="148" spans="2:27" ht="20.25" customHeight="1">
      <c r="B148" s="20"/>
      <c r="C148" s="21"/>
      <c r="D148" s="21"/>
      <c r="E148" s="22"/>
      <c r="F148" s="196"/>
      <c r="G148" s="22"/>
      <c r="H148" s="23"/>
      <c r="I148" s="23"/>
      <c r="J148" s="22"/>
      <c r="K148" s="22"/>
      <c r="L148" s="22"/>
      <c r="M148" s="24"/>
      <c r="N148" s="22"/>
      <c r="O148" s="25"/>
      <c r="P148" s="26"/>
      <c r="Q148" s="22"/>
      <c r="R148" s="27"/>
      <c r="S148" s="28"/>
      <c r="T148" s="29"/>
      <c r="U148" s="29"/>
      <c r="V148" s="29"/>
      <c r="W148" s="29"/>
      <c r="X148" s="29"/>
      <c r="Y148" s="30"/>
      <c r="Z148" s="17"/>
      <c r="AA148" s="17"/>
    </row>
    <row r="149" spans="2:27" ht="20.25" customHeight="1">
      <c r="B149" s="20"/>
      <c r="C149" s="21"/>
      <c r="D149" s="21"/>
      <c r="E149" s="22"/>
      <c r="F149" s="196"/>
      <c r="G149" s="22"/>
      <c r="H149" s="23"/>
      <c r="I149" s="23"/>
      <c r="J149" s="22"/>
      <c r="K149" s="22"/>
      <c r="L149" s="22"/>
      <c r="M149" s="24"/>
      <c r="N149" s="22"/>
      <c r="O149" s="25"/>
      <c r="P149" s="26"/>
      <c r="Q149" s="22"/>
      <c r="R149" s="27"/>
      <c r="S149" s="28"/>
      <c r="T149" s="29"/>
      <c r="U149" s="29"/>
      <c r="V149" s="29"/>
      <c r="W149" s="29"/>
      <c r="X149" s="29"/>
      <c r="Y149" s="30"/>
      <c r="Z149" s="17"/>
      <c r="AA149" s="17"/>
    </row>
    <row r="150" spans="2:27" ht="20.25" customHeight="1">
      <c r="B150" s="20"/>
      <c r="C150" s="21"/>
      <c r="D150" s="21"/>
      <c r="E150" s="22"/>
      <c r="F150" s="196"/>
      <c r="G150" s="22"/>
      <c r="H150" s="23"/>
      <c r="I150" s="23"/>
      <c r="J150" s="22"/>
      <c r="K150" s="22"/>
      <c r="L150" s="22"/>
      <c r="M150" s="24"/>
      <c r="N150" s="22"/>
      <c r="O150" s="25"/>
      <c r="P150" s="26"/>
      <c r="Q150" s="22"/>
      <c r="R150" s="27"/>
      <c r="S150" s="28"/>
      <c r="T150" s="29"/>
      <c r="U150" s="29"/>
      <c r="V150" s="29"/>
      <c r="W150" s="29"/>
      <c r="X150" s="29"/>
      <c r="Y150" s="30"/>
      <c r="Z150" s="17"/>
      <c r="AA150" s="17"/>
    </row>
    <row r="151" spans="2:27" ht="20.25" customHeight="1">
      <c r="B151" s="20"/>
      <c r="C151" s="21"/>
      <c r="D151" s="21"/>
      <c r="E151" s="22"/>
      <c r="F151" s="196"/>
      <c r="G151" s="22"/>
      <c r="H151" s="23"/>
      <c r="I151" s="23"/>
      <c r="J151" s="22"/>
      <c r="K151" s="22"/>
      <c r="L151" s="22"/>
      <c r="M151" s="24"/>
      <c r="N151" s="22"/>
      <c r="O151" s="25"/>
      <c r="P151" s="26"/>
      <c r="Q151" s="22"/>
      <c r="R151" s="27"/>
      <c r="S151" s="28"/>
      <c r="T151" s="29"/>
      <c r="U151" s="29"/>
      <c r="V151" s="29"/>
      <c r="W151" s="29"/>
      <c r="X151" s="29"/>
      <c r="Y151" s="30"/>
      <c r="Z151" s="17"/>
      <c r="AA151" s="17"/>
    </row>
    <row r="152" spans="2:27" ht="20.25" customHeight="1">
      <c r="B152" s="20"/>
      <c r="C152" s="21"/>
      <c r="D152" s="21"/>
      <c r="E152" s="22"/>
      <c r="F152" s="196"/>
      <c r="G152" s="22"/>
      <c r="H152" s="23"/>
      <c r="I152" s="23"/>
      <c r="J152" s="22"/>
      <c r="K152" s="22"/>
      <c r="L152" s="22"/>
      <c r="M152" s="24"/>
      <c r="N152" s="22"/>
      <c r="O152" s="25"/>
      <c r="P152" s="26"/>
      <c r="Q152" s="22"/>
      <c r="R152" s="27"/>
      <c r="S152" s="28"/>
      <c r="T152" s="29"/>
      <c r="U152" s="29"/>
      <c r="V152" s="29"/>
      <c r="W152" s="29"/>
      <c r="X152" s="29"/>
      <c r="Y152" s="30"/>
      <c r="Z152" s="17"/>
      <c r="AA152" s="17"/>
    </row>
    <row r="153" spans="2:27" ht="20.25" customHeight="1">
      <c r="B153" s="20"/>
      <c r="C153" s="21"/>
      <c r="D153" s="21"/>
      <c r="E153" s="22"/>
      <c r="F153" s="196"/>
      <c r="G153" s="22"/>
      <c r="H153" s="23"/>
      <c r="I153" s="23"/>
      <c r="J153" s="22"/>
      <c r="K153" s="22"/>
      <c r="L153" s="22"/>
      <c r="M153" s="24"/>
      <c r="N153" s="22"/>
      <c r="O153" s="25"/>
      <c r="P153" s="26"/>
      <c r="Q153" s="22"/>
      <c r="R153" s="27"/>
      <c r="S153" s="28"/>
      <c r="T153" s="29"/>
      <c r="U153" s="29"/>
      <c r="V153" s="29"/>
      <c r="W153" s="29"/>
      <c r="X153" s="29"/>
      <c r="Y153" s="30"/>
      <c r="Z153" s="17"/>
      <c r="AA153" s="17"/>
    </row>
  </sheetData>
  <protectedRanges>
    <protectedRange sqref="B100:D116 E100:W125 B5:W99" name="Intervalo1"/>
  </protectedRanges>
  <mergeCells count="10">
    <mergeCell ref="B129:R129"/>
    <mergeCell ref="V2:V3"/>
    <mergeCell ref="W2:W3"/>
    <mergeCell ref="X2:X3"/>
    <mergeCell ref="Y2:Y3"/>
    <mergeCell ref="B2:E2"/>
    <mergeCell ref="G2:J2"/>
    <mergeCell ref="K2:N2"/>
    <mergeCell ref="T2:T3"/>
    <mergeCell ref="U2:U3"/>
  </mergeCells>
  <conditionalFormatting sqref="K5:K125">
    <cfRule type="expression" dxfId="378" priority="16">
      <formula>$K5=#REF!</formula>
    </cfRule>
  </conditionalFormatting>
  <conditionalFormatting sqref="M130:M153 M4:M125">
    <cfRule type="cellIs" dxfId="377" priority="5" operator="equal">
      <formula>"Consumidor"</formula>
    </cfRule>
    <cfRule type="cellIs" dxfId="376" priority="6" operator="equal">
      <formula>"Fornecedor"</formula>
    </cfRule>
    <cfRule type="cellIs" dxfId="375" priority="7" operator="equal">
      <formula>"Uniportas"</formula>
    </cfRule>
  </conditionalFormatting>
  <conditionalFormatting sqref="P130:P153 P4:P125 S5:S125">
    <cfRule type="cellIs" dxfId="374" priority="3" operator="equal">
      <formula>"Sim"</formula>
    </cfRule>
    <cfRule type="cellIs" dxfId="373" priority="4" operator="equal">
      <formula>"Não"</formula>
    </cfRule>
  </conditionalFormatting>
  <conditionalFormatting sqref="B128:S128">
    <cfRule type="cellIs" dxfId="372" priority="2" operator="lessThan">
      <formula>0</formula>
    </cfRule>
  </conditionalFormatting>
  <conditionalFormatting sqref="B3:S3">
    <cfRule type="cellIs" dxfId="371" priority="1" operator="lessThan">
      <formula>0</formula>
    </cfRule>
  </conditionalFormatting>
  <dataValidations count="10">
    <dataValidation type="list" allowBlank="1" showInputMessage="1" showErrorMessage="1" sqref="L130:L153" xr:uid="{00000000-0002-0000-0800-000000000000}">
      <formula1>$AJ$9:$AJ$16</formula1>
    </dataValidation>
    <dataValidation type="list" allowBlank="1" showInputMessage="1" showErrorMessage="1" sqref="K130:K153" xr:uid="{00000000-0002-0000-0800-000001000000}">
      <formula1>$AQ$9:$AQ$56</formula1>
    </dataValidation>
    <dataValidation type="list" allowBlank="1" showInputMessage="1" showErrorMessage="1" sqref="M130:M153" xr:uid="{00000000-0002-0000-0800-000002000000}">
      <formula1>$AS$9:$AS$11</formula1>
    </dataValidation>
    <dataValidation type="list" allowBlank="1" showInputMessage="1" showErrorMessage="1" sqref="P130:P153" xr:uid="{00000000-0002-0000-0800-000003000000}">
      <formula1>$AN$9:$AN$10</formula1>
    </dataValidation>
    <dataValidation type="list" allowBlank="1" showInputMessage="1" showErrorMessage="1" sqref="I5:I125" xr:uid="{00000000-0002-0000-0800-000004000000}">
      <formula1>$AL$5:$AL$13</formula1>
    </dataValidation>
    <dataValidation type="list" allowBlank="1" showInputMessage="1" showErrorMessage="1" sqref="S5:S125 P5:P125" xr:uid="{00000000-0002-0000-0800-000005000000}">
      <formula1>$AN$5:$AN$6</formula1>
    </dataValidation>
    <dataValidation type="list" allowBlank="1" showInputMessage="1" showErrorMessage="1" sqref="M5:M125" xr:uid="{00000000-0002-0000-0800-000006000000}">
      <formula1>$AS$5:$AS$7</formula1>
    </dataValidation>
    <dataValidation type="list" allowBlank="1" showInputMessage="1" showErrorMessage="1" sqref="K5:K125" xr:uid="{00000000-0002-0000-0800-000007000000}">
      <formula1>$AQ$5:$AQ$31</formula1>
    </dataValidation>
    <dataValidation type="list" allowBlank="1" showInputMessage="1" showErrorMessage="1" sqref="L5:L125" xr:uid="{00000000-0002-0000-0800-000008000000}">
      <formula1>$AJ$5:$AJ$12</formula1>
    </dataValidation>
    <dataValidation type="whole" allowBlank="1" showInputMessage="1" showErrorMessage="1" sqref="H29:H125 H5:H12" xr:uid="{00000000-0002-0000-0800-000009000000}">
      <formula1>1</formula1>
      <formula2>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2"/>
  <dimension ref="D4:AF51"/>
  <sheetViews>
    <sheetView topLeftCell="A19" workbookViewId="0">
      <selection activeCell="G55" sqref="G55"/>
    </sheetView>
  </sheetViews>
  <sheetFormatPr defaultColWidth="16.28515625" defaultRowHeight="15"/>
  <sheetData>
    <row r="4" spans="4:31">
      <c r="E4" s="38" t="s">
        <v>40</v>
      </c>
      <c r="F4" s="38" t="s">
        <v>42</v>
      </c>
      <c r="G4" s="38" t="s">
        <v>46</v>
      </c>
      <c r="H4" s="38" t="s">
        <v>50</v>
      </c>
      <c r="I4" s="38" t="s">
        <v>52</v>
      </c>
      <c r="J4" s="38" t="s">
        <v>55</v>
      </c>
      <c r="K4" s="38" t="s">
        <v>59</v>
      </c>
      <c r="L4" s="38" t="s">
        <v>62</v>
      </c>
      <c r="M4" s="38" t="s">
        <v>64</v>
      </c>
      <c r="N4" s="38" t="s">
        <v>65</v>
      </c>
      <c r="O4" s="38" t="s">
        <v>66</v>
      </c>
      <c r="P4" s="38" t="s">
        <v>67</v>
      </c>
      <c r="Q4" s="38" t="s">
        <v>68</v>
      </c>
      <c r="R4" s="38" t="s">
        <v>43</v>
      </c>
      <c r="S4" s="38" t="s">
        <v>34</v>
      </c>
      <c r="T4" s="38" t="s">
        <v>70</v>
      </c>
      <c r="U4" s="38" t="s">
        <v>72</v>
      </c>
      <c r="V4" s="38" t="s">
        <v>73</v>
      </c>
      <c r="W4" s="38" t="s">
        <v>74</v>
      </c>
      <c r="X4" s="38" t="s">
        <v>71</v>
      </c>
      <c r="Y4" s="38" t="s">
        <v>56</v>
      </c>
      <c r="Z4" s="38" t="s">
        <v>69</v>
      </c>
      <c r="AA4" s="38" t="s">
        <v>75</v>
      </c>
      <c r="AB4" s="38" t="s">
        <v>76</v>
      </c>
      <c r="AC4" s="38" t="s">
        <v>77</v>
      </c>
      <c r="AD4" s="38" t="s">
        <v>78</v>
      </c>
      <c r="AE4" s="38" t="s">
        <v>79</v>
      </c>
    </row>
    <row r="5" spans="4:31">
      <c r="D5" s="33">
        <v>45658</v>
      </c>
      <c r="E5" s="32">
        <f>SUMIF(AT1_intervalo_criterio,TEXT($D5,"MMAAAA")&amp;"fornecedor"&amp;$E$4,AU1_soma_criterio)</f>
        <v>0</v>
      </c>
      <c r="F5" s="32">
        <f>SUMIF(AT1_intervalo_criterio,TEXT($D5,"MMAAAA")&amp;"fornecedor"&amp;F$4,AU1_soma_criterio)</f>
        <v>0</v>
      </c>
      <c r="G5" s="32">
        <f>SUMIF(AT1_intervalo_criterio,TEXT($D5,"MMAAAA")&amp;"fornecedor"&amp;G$4,AU1_soma_criterio)</f>
        <v>0</v>
      </c>
      <c r="H5" s="32">
        <f t="shared" ref="H5:AE5" si="0">SUMIF(AT1_intervalo_criterio,TEXT($D5,"MMAAAA")&amp;"fornecedor"&amp;H$4,AU1_soma_criterio)</f>
        <v>0</v>
      </c>
      <c r="I5" s="32">
        <f t="shared" si="0"/>
        <v>0</v>
      </c>
      <c r="J5" s="32">
        <f t="shared" si="0"/>
        <v>0</v>
      </c>
      <c r="K5" s="32">
        <f t="shared" si="0"/>
        <v>0</v>
      </c>
      <c r="L5" s="32">
        <f t="shared" si="0"/>
        <v>0</v>
      </c>
      <c r="M5" s="32">
        <f t="shared" si="0"/>
        <v>0</v>
      </c>
      <c r="N5" s="32">
        <f t="shared" si="0"/>
        <v>0</v>
      </c>
      <c r="O5" s="32">
        <f t="shared" si="0"/>
        <v>0</v>
      </c>
      <c r="P5" s="32">
        <f t="shared" si="0"/>
        <v>0</v>
      </c>
      <c r="Q5" s="32">
        <f t="shared" si="0"/>
        <v>0</v>
      </c>
      <c r="R5" s="32">
        <f t="shared" si="0"/>
        <v>0</v>
      </c>
      <c r="S5" s="32">
        <f t="shared" si="0"/>
        <v>0</v>
      </c>
      <c r="T5" s="32">
        <f t="shared" si="0"/>
        <v>0</v>
      </c>
      <c r="U5" s="32">
        <f t="shared" si="0"/>
        <v>0</v>
      </c>
      <c r="V5" s="32">
        <f t="shared" si="0"/>
        <v>0</v>
      </c>
      <c r="W5" s="32">
        <f t="shared" si="0"/>
        <v>0</v>
      </c>
      <c r="X5" s="32">
        <f t="shared" si="0"/>
        <v>0</v>
      </c>
      <c r="Y5" s="32">
        <f t="shared" si="0"/>
        <v>0</v>
      </c>
      <c r="Z5" s="32">
        <f t="shared" si="0"/>
        <v>0</v>
      </c>
      <c r="AA5" s="32">
        <f t="shared" si="0"/>
        <v>0</v>
      </c>
      <c r="AB5" s="32">
        <f t="shared" si="0"/>
        <v>0</v>
      </c>
      <c r="AC5" s="32">
        <f t="shared" si="0"/>
        <v>0</v>
      </c>
      <c r="AD5" s="32">
        <f t="shared" si="0"/>
        <v>0</v>
      </c>
      <c r="AE5" s="32">
        <f t="shared" si="0"/>
        <v>0</v>
      </c>
    </row>
    <row r="6" spans="4:31">
      <c r="D6" s="33">
        <v>45689</v>
      </c>
      <c r="E6" s="32">
        <f t="shared" ref="E6:E16" si="1">SUMIF(AT1_intervalo_criterio,TEXT($D6,"MMAAAA")&amp;"fornecedor"&amp;$E$4,AU1_soma_criterio)</f>
        <v>0</v>
      </c>
      <c r="F6" s="32">
        <f>SUMIF(AT1_intervalo_criterio,TEXT($D6,"MMAAAA")&amp;"fornecedor"&amp;$F$4,AU1_soma_criterio)</f>
        <v>0</v>
      </c>
      <c r="G6" s="32">
        <f t="shared" ref="G6:G16" si="2">SUMIF(AT1_intervalo_criterio,TEXT($D6,"MMAAAA")&amp;"fornecedor"&amp;$G$4,AU1_soma_criterio)</f>
        <v>0</v>
      </c>
      <c r="H6" s="32">
        <f t="shared" ref="H6:Q16" si="3">SUMIF(AT1_intervalo_criterio,TEXT($D6,"MMAAAA")&amp;"fornecedor"&amp;H$4,AU1_soma_criterio)</f>
        <v>0</v>
      </c>
      <c r="I6" s="32">
        <f t="shared" si="3"/>
        <v>0</v>
      </c>
      <c r="J6" s="32">
        <f t="shared" si="3"/>
        <v>0</v>
      </c>
      <c r="K6" s="32">
        <f t="shared" si="3"/>
        <v>0</v>
      </c>
      <c r="L6" s="32">
        <f t="shared" si="3"/>
        <v>0</v>
      </c>
      <c r="M6" s="32">
        <f t="shared" si="3"/>
        <v>0</v>
      </c>
      <c r="N6" s="32">
        <f t="shared" si="3"/>
        <v>0</v>
      </c>
      <c r="O6" s="32">
        <f t="shared" si="3"/>
        <v>0</v>
      </c>
      <c r="P6" s="32">
        <f t="shared" si="3"/>
        <v>0</v>
      </c>
      <c r="Q6" s="32">
        <f t="shared" si="3"/>
        <v>0</v>
      </c>
      <c r="R6" s="32">
        <f t="shared" ref="R6:AE16" si="4">SUMIF(AT1_intervalo_criterio,TEXT($D6,"MMAAAA")&amp;"fornecedor"&amp;R$4,AU1_soma_criterio)</f>
        <v>0</v>
      </c>
      <c r="S6" s="32">
        <f t="shared" si="4"/>
        <v>0</v>
      </c>
      <c r="T6" s="32">
        <f t="shared" si="4"/>
        <v>0</v>
      </c>
      <c r="U6" s="32">
        <f t="shared" si="4"/>
        <v>0</v>
      </c>
      <c r="V6" s="32">
        <f t="shared" si="4"/>
        <v>0</v>
      </c>
      <c r="W6" s="32">
        <f t="shared" si="4"/>
        <v>0</v>
      </c>
      <c r="X6" s="32">
        <f t="shared" si="4"/>
        <v>0</v>
      </c>
      <c r="Y6" s="32">
        <f t="shared" si="4"/>
        <v>0</v>
      </c>
      <c r="Z6" s="32">
        <f t="shared" si="4"/>
        <v>0</v>
      </c>
      <c r="AA6" s="32">
        <f t="shared" si="4"/>
        <v>0</v>
      </c>
      <c r="AB6" s="32">
        <f t="shared" si="4"/>
        <v>0</v>
      </c>
      <c r="AC6" s="32">
        <f t="shared" si="4"/>
        <v>0</v>
      </c>
      <c r="AD6" s="32">
        <f t="shared" si="4"/>
        <v>0</v>
      </c>
      <c r="AE6" s="32">
        <f t="shared" si="4"/>
        <v>0</v>
      </c>
    </row>
    <row r="7" spans="4:31">
      <c r="D7" s="33">
        <v>45717</v>
      </c>
      <c r="E7" s="32">
        <f t="shared" si="1"/>
        <v>0</v>
      </c>
      <c r="F7" s="32">
        <f>SUMIF(AT1_intervalo_criterio,TEXT($D7,"MMAAAA")&amp;"fornecedor"&amp;$F$4,AU1_soma_criterio)</f>
        <v>0</v>
      </c>
      <c r="G7" s="32">
        <f t="shared" si="2"/>
        <v>0</v>
      </c>
      <c r="H7" s="32">
        <f t="shared" si="3"/>
        <v>0</v>
      </c>
      <c r="I7" s="32">
        <f t="shared" si="3"/>
        <v>0</v>
      </c>
      <c r="J7" s="32">
        <f t="shared" si="3"/>
        <v>0</v>
      </c>
      <c r="K7" s="32">
        <f t="shared" si="3"/>
        <v>0</v>
      </c>
      <c r="L7" s="32">
        <f t="shared" si="3"/>
        <v>0</v>
      </c>
      <c r="M7" s="32">
        <f t="shared" si="3"/>
        <v>0</v>
      </c>
      <c r="N7" s="32">
        <f t="shared" si="3"/>
        <v>0</v>
      </c>
      <c r="O7" s="32">
        <f t="shared" si="3"/>
        <v>0</v>
      </c>
      <c r="P7" s="32">
        <f t="shared" si="3"/>
        <v>0</v>
      </c>
      <c r="Q7" s="32">
        <f t="shared" si="3"/>
        <v>0</v>
      </c>
      <c r="R7" s="32">
        <f t="shared" si="4"/>
        <v>0</v>
      </c>
      <c r="S7" s="32">
        <f t="shared" si="4"/>
        <v>0</v>
      </c>
      <c r="T7" s="32">
        <f t="shared" si="4"/>
        <v>0</v>
      </c>
      <c r="U7" s="32">
        <f t="shared" si="4"/>
        <v>0</v>
      </c>
      <c r="V7" s="32">
        <f t="shared" si="4"/>
        <v>0</v>
      </c>
      <c r="W7" s="32">
        <f t="shared" si="4"/>
        <v>0</v>
      </c>
      <c r="X7" s="32">
        <f t="shared" si="4"/>
        <v>0</v>
      </c>
      <c r="Y7" s="32">
        <f t="shared" si="4"/>
        <v>0</v>
      </c>
      <c r="Z7" s="32">
        <f t="shared" si="4"/>
        <v>0</v>
      </c>
      <c r="AA7" s="32">
        <f t="shared" si="4"/>
        <v>0</v>
      </c>
      <c r="AB7" s="32">
        <f t="shared" si="4"/>
        <v>0</v>
      </c>
      <c r="AC7" s="32">
        <f t="shared" si="4"/>
        <v>0</v>
      </c>
      <c r="AD7" s="32">
        <f t="shared" si="4"/>
        <v>0</v>
      </c>
      <c r="AE7" s="32">
        <f t="shared" si="4"/>
        <v>0</v>
      </c>
    </row>
    <row r="8" spans="4:31">
      <c r="D8" s="33">
        <v>45748</v>
      </c>
      <c r="E8" s="32">
        <f t="shared" si="1"/>
        <v>0</v>
      </c>
      <c r="F8" s="32">
        <f t="shared" ref="F8:F16" si="5">SUMIF(AT1_intervalo_criterio,TEXT($D8,"MMAAAA")&amp;"fornecedor"&amp;$F$4,AU1_soma_criterio)</f>
        <v>0</v>
      </c>
      <c r="G8" s="32">
        <f t="shared" si="2"/>
        <v>0</v>
      </c>
      <c r="H8" s="32">
        <f t="shared" si="3"/>
        <v>0</v>
      </c>
      <c r="I8" s="32">
        <f t="shared" si="3"/>
        <v>0</v>
      </c>
      <c r="J8" s="32">
        <f t="shared" si="3"/>
        <v>0</v>
      </c>
      <c r="K8" s="32">
        <f t="shared" si="3"/>
        <v>0</v>
      </c>
      <c r="L8" s="32">
        <f t="shared" si="3"/>
        <v>0</v>
      </c>
      <c r="M8" s="32">
        <f t="shared" si="3"/>
        <v>0</v>
      </c>
      <c r="N8" s="32">
        <f t="shared" si="3"/>
        <v>0</v>
      </c>
      <c r="O8" s="32">
        <f t="shared" si="3"/>
        <v>0</v>
      </c>
      <c r="P8" s="32">
        <f t="shared" si="3"/>
        <v>0</v>
      </c>
      <c r="Q8" s="32">
        <f t="shared" si="3"/>
        <v>0</v>
      </c>
      <c r="R8" s="32">
        <f t="shared" si="4"/>
        <v>0</v>
      </c>
      <c r="S8" s="32">
        <f t="shared" si="4"/>
        <v>0</v>
      </c>
      <c r="T8" s="32">
        <f t="shared" si="4"/>
        <v>0</v>
      </c>
      <c r="U8" s="32">
        <f t="shared" si="4"/>
        <v>0</v>
      </c>
      <c r="V8" s="32">
        <f t="shared" si="4"/>
        <v>0</v>
      </c>
      <c r="W8" s="32">
        <f t="shared" si="4"/>
        <v>0</v>
      </c>
      <c r="X8" s="32">
        <f t="shared" si="4"/>
        <v>0</v>
      </c>
      <c r="Y8" s="32">
        <f t="shared" si="4"/>
        <v>0</v>
      </c>
      <c r="Z8" s="32">
        <f t="shared" si="4"/>
        <v>0</v>
      </c>
      <c r="AA8" s="32">
        <f t="shared" si="4"/>
        <v>0</v>
      </c>
      <c r="AB8" s="32">
        <f t="shared" si="4"/>
        <v>0</v>
      </c>
      <c r="AC8" s="32">
        <f t="shared" si="4"/>
        <v>0</v>
      </c>
      <c r="AD8" s="32">
        <f t="shared" si="4"/>
        <v>0</v>
      </c>
      <c r="AE8" s="32">
        <f t="shared" si="4"/>
        <v>0</v>
      </c>
    </row>
    <row r="9" spans="4:31">
      <c r="D9" s="33">
        <v>45778</v>
      </c>
      <c r="E9" s="32">
        <f t="shared" si="1"/>
        <v>0</v>
      </c>
      <c r="F9" s="32">
        <f t="shared" si="5"/>
        <v>0</v>
      </c>
      <c r="G9" s="32">
        <f t="shared" si="2"/>
        <v>0</v>
      </c>
      <c r="H9" s="32">
        <f t="shared" si="3"/>
        <v>0</v>
      </c>
      <c r="I9" s="32">
        <f t="shared" si="3"/>
        <v>0</v>
      </c>
      <c r="J9" s="32">
        <f t="shared" si="3"/>
        <v>0</v>
      </c>
      <c r="K9" s="32">
        <f t="shared" si="3"/>
        <v>0</v>
      </c>
      <c r="L9" s="32">
        <f t="shared" si="3"/>
        <v>0</v>
      </c>
      <c r="M9" s="32">
        <f t="shared" si="3"/>
        <v>0</v>
      </c>
      <c r="N9" s="32">
        <f t="shared" si="3"/>
        <v>0</v>
      </c>
      <c r="O9" s="32">
        <f t="shared" si="3"/>
        <v>0</v>
      </c>
      <c r="P9" s="32">
        <f t="shared" si="3"/>
        <v>0</v>
      </c>
      <c r="Q9" s="32">
        <f t="shared" si="3"/>
        <v>0</v>
      </c>
      <c r="R9" s="32">
        <f t="shared" si="4"/>
        <v>0</v>
      </c>
      <c r="S9" s="32">
        <f t="shared" si="4"/>
        <v>0</v>
      </c>
      <c r="T9" s="32">
        <f t="shared" si="4"/>
        <v>0</v>
      </c>
      <c r="U9" s="32">
        <f t="shared" si="4"/>
        <v>0</v>
      </c>
      <c r="V9" s="32">
        <f t="shared" si="4"/>
        <v>0</v>
      </c>
      <c r="W9" s="32">
        <f t="shared" si="4"/>
        <v>0</v>
      </c>
      <c r="X9" s="32">
        <f t="shared" si="4"/>
        <v>0</v>
      </c>
      <c r="Y9" s="32">
        <f t="shared" si="4"/>
        <v>0</v>
      </c>
      <c r="Z9" s="32">
        <f t="shared" si="4"/>
        <v>0</v>
      </c>
      <c r="AA9" s="32">
        <f t="shared" si="4"/>
        <v>0</v>
      </c>
      <c r="AB9" s="32">
        <f t="shared" si="4"/>
        <v>0</v>
      </c>
      <c r="AC9" s="32">
        <f t="shared" si="4"/>
        <v>0</v>
      </c>
      <c r="AD9" s="32">
        <f t="shared" si="4"/>
        <v>0</v>
      </c>
      <c r="AE9" s="32">
        <f t="shared" si="4"/>
        <v>0</v>
      </c>
    </row>
    <row r="10" spans="4:31">
      <c r="D10" s="33">
        <v>45809</v>
      </c>
      <c r="E10" s="32">
        <f t="shared" si="1"/>
        <v>0</v>
      </c>
      <c r="F10" s="32">
        <f t="shared" si="5"/>
        <v>0</v>
      </c>
      <c r="G10" s="32">
        <f t="shared" si="2"/>
        <v>0</v>
      </c>
      <c r="H10" s="32">
        <f t="shared" si="3"/>
        <v>0</v>
      </c>
      <c r="I10" s="32">
        <f t="shared" si="3"/>
        <v>0</v>
      </c>
      <c r="J10" s="32">
        <f t="shared" si="3"/>
        <v>0</v>
      </c>
      <c r="K10" s="32">
        <f t="shared" si="3"/>
        <v>0</v>
      </c>
      <c r="L10" s="32">
        <f t="shared" si="3"/>
        <v>0</v>
      </c>
      <c r="M10" s="32">
        <f t="shared" si="3"/>
        <v>0</v>
      </c>
      <c r="N10" s="32">
        <f t="shared" si="3"/>
        <v>0</v>
      </c>
      <c r="O10" s="32">
        <f t="shared" si="3"/>
        <v>0</v>
      </c>
      <c r="P10" s="32">
        <f t="shared" si="3"/>
        <v>0</v>
      </c>
      <c r="Q10" s="32">
        <f t="shared" si="3"/>
        <v>0</v>
      </c>
      <c r="R10" s="32">
        <f t="shared" si="4"/>
        <v>0</v>
      </c>
      <c r="S10" s="32">
        <f t="shared" si="4"/>
        <v>0</v>
      </c>
      <c r="T10" s="32">
        <f t="shared" si="4"/>
        <v>0</v>
      </c>
      <c r="U10" s="32">
        <f t="shared" si="4"/>
        <v>0</v>
      </c>
      <c r="V10" s="32">
        <f t="shared" si="4"/>
        <v>0</v>
      </c>
      <c r="W10" s="32">
        <f t="shared" si="4"/>
        <v>0</v>
      </c>
      <c r="X10" s="32">
        <f t="shared" si="4"/>
        <v>0</v>
      </c>
      <c r="Y10" s="32">
        <f t="shared" si="4"/>
        <v>0</v>
      </c>
      <c r="Z10" s="32">
        <f t="shared" si="4"/>
        <v>0</v>
      </c>
      <c r="AA10" s="32">
        <f t="shared" si="4"/>
        <v>0</v>
      </c>
      <c r="AB10" s="32">
        <f t="shared" si="4"/>
        <v>0</v>
      </c>
      <c r="AC10" s="32">
        <f t="shared" si="4"/>
        <v>0</v>
      </c>
      <c r="AD10" s="32">
        <f t="shared" si="4"/>
        <v>0</v>
      </c>
      <c r="AE10" s="32">
        <f t="shared" si="4"/>
        <v>0</v>
      </c>
    </row>
    <row r="11" spans="4:31">
      <c r="D11" s="33">
        <v>45839</v>
      </c>
      <c r="E11" s="32">
        <f t="shared" si="1"/>
        <v>0</v>
      </c>
      <c r="F11" s="32">
        <f t="shared" si="5"/>
        <v>0</v>
      </c>
      <c r="G11" s="32">
        <f t="shared" si="2"/>
        <v>0</v>
      </c>
      <c r="H11" s="32">
        <f t="shared" si="3"/>
        <v>0</v>
      </c>
      <c r="I11" s="32">
        <f t="shared" si="3"/>
        <v>0</v>
      </c>
      <c r="J11" s="32">
        <f t="shared" si="3"/>
        <v>0</v>
      </c>
      <c r="K11" s="32">
        <f t="shared" si="3"/>
        <v>0</v>
      </c>
      <c r="L11" s="32">
        <f t="shared" si="3"/>
        <v>0</v>
      </c>
      <c r="M11" s="32">
        <f t="shared" si="3"/>
        <v>0</v>
      </c>
      <c r="N11" s="32">
        <f t="shared" si="3"/>
        <v>0</v>
      </c>
      <c r="O11" s="32">
        <f t="shared" si="3"/>
        <v>0</v>
      </c>
      <c r="P11" s="32">
        <f t="shared" si="3"/>
        <v>0</v>
      </c>
      <c r="Q11" s="32">
        <f t="shared" si="3"/>
        <v>0</v>
      </c>
      <c r="R11" s="32">
        <f t="shared" si="4"/>
        <v>0</v>
      </c>
      <c r="S11" s="32">
        <f t="shared" si="4"/>
        <v>0</v>
      </c>
      <c r="T11" s="32">
        <f t="shared" si="4"/>
        <v>0</v>
      </c>
      <c r="U11" s="32">
        <f t="shared" si="4"/>
        <v>0</v>
      </c>
      <c r="V11" s="32">
        <f t="shared" si="4"/>
        <v>0</v>
      </c>
      <c r="W11" s="32">
        <f t="shared" si="4"/>
        <v>0</v>
      </c>
      <c r="X11" s="32">
        <f t="shared" si="4"/>
        <v>0</v>
      </c>
      <c r="Y11" s="32">
        <f t="shared" si="4"/>
        <v>0</v>
      </c>
      <c r="Z11" s="32">
        <f t="shared" si="4"/>
        <v>0</v>
      </c>
      <c r="AA11" s="32">
        <f t="shared" si="4"/>
        <v>0</v>
      </c>
      <c r="AB11" s="32">
        <f t="shared" si="4"/>
        <v>0</v>
      </c>
      <c r="AC11" s="32">
        <f t="shared" si="4"/>
        <v>0</v>
      </c>
      <c r="AD11" s="32">
        <f t="shared" si="4"/>
        <v>0</v>
      </c>
      <c r="AE11" s="32">
        <f t="shared" si="4"/>
        <v>0</v>
      </c>
    </row>
    <row r="12" spans="4:31">
      <c r="D12" s="33">
        <v>45870</v>
      </c>
      <c r="E12" s="32">
        <f t="shared" si="1"/>
        <v>0</v>
      </c>
      <c r="F12" s="32">
        <f t="shared" si="5"/>
        <v>0</v>
      </c>
      <c r="G12" s="32">
        <f t="shared" si="2"/>
        <v>0</v>
      </c>
      <c r="H12" s="32">
        <f t="shared" si="3"/>
        <v>0</v>
      </c>
      <c r="I12" s="32">
        <f t="shared" si="3"/>
        <v>0</v>
      </c>
      <c r="J12" s="32">
        <f t="shared" si="3"/>
        <v>0</v>
      </c>
      <c r="K12" s="32">
        <f t="shared" si="3"/>
        <v>0</v>
      </c>
      <c r="L12" s="32">
        <f t="shared" si="3"/>
        <v>0</v>
      </c>
      <c r="M12" s="32">
        <f t="shared" si="3"/>
        <v>0</v>
      </c>
      <c r="N12" s="32">
        <f t="shared" si="3"/>
        <v>0</v>
      </c>
      <c r="O12" s="32">
        <f t="shared" si="3"/>
        <v>0</v>
      </c>
      <c r="P12" s="32">
        <f t="shared" si="3"/>
        <v>0</v>
      </c>
      <c r="Q12" s="32">
        <f t="shared" si="3"/>
        <v>0</v>
      </c>
      <c r="R12" s="32">
        <f t="shared" si="4"/>
        <v>0</v>
      </c>
      <c r="S12" s="32">
        <f t="shared" si="4"/>
        <v>0</v>
      </c>
      <c r="T12" s="32">
        <f t="shared" si="4"/>
        <v>0</v>
      </c>
      <c r="U12" s="32">
        <f t="shared" si="4"/>
        <v>0</v>
      </c>
      <c r="V12" s="32">
        <f t="shared" si="4"/>
        <v>0</v>
      </c>
      <c r="W12" s="32">
        <f t="shared" si="4"/>
        <v>0</v>
      </c>
      <c r="X12" s="32">
        <f t="shared" si="4"/>
        <v>0</v>
      </c>
      <c r="Y12" s="32">
        <f t="shared" si="4"/>
        <v>0</v>
      </c>
      <c r="Z12" s="32">
        <f t="shared" si="4"/>
        <v>0</v>
      </c>
      <c r="AA12" s="32">
        <f t="shared" si="4"/>
        <v>0</v>
      </c>
      <c r="AB12" s="32">
        <f t="shared" si="4"/>
        <v>0</v>
      </c>
      <c r="AC12" s="32">
        <f t="shared" si="4"/>
        <v>0</v>
      </c>
      <c r="AD12" s="32">
        <f t="shared" si="4"/>
        <v>0</v>
      </c>
      <c r="AE12" s="32">
        <f t="shared" si="4"/>
        <v>0</v>
      </c>
    </row>
    <row r="13" spans="4:31">
      <c r="D13" s="33">
        <v>45901</v>
      </c>
      <c r="E13" s="32">
        <f t="shared" si="1"/>
        <v>0</v>
      </c>
      <c r="F13" s="32">
        <f t="shared" si="5"/>
        <v>0</v>
      </c>
      <c r="G13" s="32">
        <f t="shared" si="2"/>
        <v>0</v>
      </c>
      <c r="H13" s="32">
        <f t="shared" si="3"/>
        <v>0</v>
      </c>
      <c r="I13" s="32">
        <f t="shared" si="3"/>
        <v>0</v>
      </c>
      <c r="J13" s="32">
        <f t="shared" si="3"/>
        <v>0</v>
      </c>
      <c r="K13" s="32">
        <f t="shared" si="3"/>
        <v>0</v>
      </c>
      <c r="L13" s="32">
        <f t="shared" si="3"/>
        <v>0</v>
      </c>
      <c r="M13" s="32">
        <f t="shared" si="3"/>
        <v>0</v>
      </c>
      <c r="N13" s="32">
        <f t="shared" si="3"/>
        <v>0</v>
      </c>
      <c r="O13" s="32">
        <f t="shared" si="3"/>
        <v>0</v>
      </c>
      <c r="P13" s="32">
        <f t="shared" si="3"/>
        <v>0</v>
      </c>
      <c r="Q13" s="32">
        <f t="shared" si="3"/>
        <v>0</v>
      </c>
      <c r="R13" s="32">
        <f t="shared" si="4"/>
        <v>0</v>
      </c>
      <c r="S13" s="32">
        <f t="shared" si="4"/>
        <v>0</v>
      </c>
      <c r="T13" s="32">
        <f t="shared" si="4"/>
        <v>0</v>
      </c>
      <c r="U13" s="32">
        <f t="shared" si="4"/>
        <v>0</v>
      </c>
      <c r="V13" s="32">
        <f t="shared" si="4"/>
        <v>0</v>
      </c>
      <c r="W13" s="32">
        <f t="shared" si="4"/>
        <v>0</v>
      </c>
      <c r="X13" s="32">
        <f t="shared" si="4"/>
        <v>0</v>
      </c>
      <c r="Y13" s="32">
        <f t="shared" si="4"/>
        <v>0</v>
      </c>
      <c r="Z13" s="32">
        <f t="shared" si="4"/>
        <v>0</v>
      </c>
      <c r="AA13" s="32">
        <f t="shared" si="4"/>
        <v>0</v>
      </c>
      <c r="AB13" s="32">
        <f t="shared" si="4"/>
        <v>0</v>
      </c>
      <c r="AC13" s="32">
        <f t="shared" si="4"/>
        <v>0</v>
      </c>
      <c r="AD13" s="32">
        <f t="shared" si="4"/>
        <v>0</v>
      </c>
      <c r="AE13" s="32">
        <f t="shared" si="4"/>
        <v>0</v>
      </c>
    </row>
    <row r="14" spans="4:31">
      <c r="D14" s="33">
        <v>45931</v>
      </c>
      <c r="E14" s="32">
        <f t="shared" si="1"/>
        <v>0</v>
      </c>
      <c r="F14" s="32">
        <f t="shared" si="5"/>
        <v>0</v>
      </c>
      <c r="G14" s="32">
        <f t="shared" si="2"/>
        <v>0</v>
      </c>
      <c r="H14" s="32">
        <f t="shared" si="3"/>
        <v>0</v>
      </c>
      <c r="I14" s="32">
        <f t="shared" si="3"/>
        <v>0</v>
      </c>
      <c r="J14" s="32">
        <f t="shared" si="3"/>
        <v>0</v>
      </c>
      <c r="K14" s="32">
        <f t="shared" si="3"/>
        <v>0</v>
      </c>
      <c r="L14" s="32">
        <f t="shared" si="3"/>
        <v>0</v>
      </c>
      <c r="M14" s="32">
        <f t="shared" si="3"/>
        <v>0</v>
      </c>
      <c r="N14" s="32">
        <f t="shared" si="3"/>
        <v>0</v>
      </c>
      <c r="O14" s="32">
        <f t="shared" si="3"/>
        <v>0</v>
      </c>
      <c r="P14" s="32">
        <f t="shared" si="3"/>
        <v>0</v>
      </c>
      <c r="Q14" s="32">
        <f t="shared" si="3"/>
        <v>0</v>
      </c>
      <c r="R14" s="32">
        <f t="shared" si="4"/>
        <v>0</v>
      </c>
      <c r="S14" s="32">
        <f t="shared" si="4"/>
        <v>0</v>
      </c>
      <c r="T14" s="32">
        <f t="shared" si="4"/>
        <v>0</v>
      </c>
      <c r="U14" s="32">
        <f t="shared" si="4"/>
        <v>0</v>
      </c>
      <c r="V14" s="32">
        <f t="shared" si="4"/>
        <v>0</v>
      </c>
      <c r="W14" s="32">
        <f t="shared" si="4"/>
        <v>0</v>
      </c>
      <c r="X14" s="32">
        <f t="shared" si="4"/>
        <v>0</v>
      </c>
      <c r="Y14" s="32">
        <f t="shared" si="4"/>
        <v>0</v>
      </c>
      <c r="Z14" s="32">
        <f t="shared" si="4"/>
        <v>0</v>
      </c>
      <c r="AA14" s="32">
        <f t="shared" si="4"/>
        <v>0</v>
      </c>
      <c r="AB14" s="32">
        <f t="shared" si="4"/>
        <v>0</v>
      </c>
      <c r="AC14" s="32">
        <f t="shared" si="4"/>
        <v>0</v>
      </c>
      <c r="AD14" s="32">
        <f t="shared" si="4"/>
        <v>0</v>
      </c>
      <c r="AE14" s="32">
        <f t="shared" si="4"/>
        <v>0</v>
      </c>
    </row>
    <row r="15" spans="4:31">
      <c r="D15" s="33">
        <v>45962</v>
      </c>
      <c r="E15" s="32">
        <f t="shared" si="1"/>
        <v>0</v>
      </c>
      <c r="F15" s="32">
        <f t="shared" si="5"/>
        <v>0</v>
      </c>
      <c r="G15" s="32">
        <f t="shared" si="2"/>
        <v>0</v>
      </c>
      <c r="H15" s="32">
        <f t="shared" si="3"/>
        <v>0</v>
      </c>
      <c r="I15" s="32">
        <f t="shared" si="3"/>
        <v>0</v>
      </c>
      <c r="J15" s="32">
        <f t="shared" si="3"/>
        <v>0</v>
      </c>
      <c r="K15" s="32">
        <f t="shared" si="3"/>
        <v>0</v>
      </c>
      <c r="L15" s="32">
        <f t="shared" si="3"/>
        <v>0</v>
      </c>
      <c r="M15" s="32">
        <f t="shared" si="3"/>
        <v>0</v>
      </c>
      <c r="N15" s="32">
        <f t="shared" si="3"/>
        <v>0</v>
      </c>
      <c r="O15" s="32">
        <f t="shared" si="3"/>
        <v>0</v>
      </c>
      <c r="P15" s="32">
        <f t="shared" si="3"/>
        <v>0</v>
      </c>
      <c r="Q15" s="32">
        <f t="shared" si="3"/>
        <v>0</v>
      </c>
      <c r="R15" s="32">
        <f t="shared" si="4"/>
        <v>0</v>
      </c>
      <c r="S15" s="32">
        <f t="shared" si="4"/>
        <v>0</v>
      </c>
      <c r="T15" s="32">
        <f t="shared" si="4"/>
        <v>0</v>
      </c>
      <c r="U15" s="32">
        <f t="shared" si="4"/>
        <v>0</v>
      </c>
      <c r="V15" s="32">
        <f t="shared" si="4"/>
        <v>0</v>
      </c>
      <c r="W15" s="32">
        <f t="shared" si="4"/>
        <v>0</v>
      </c>
      <c r="X15" s="32">
        <f t="shared" si="4"/>
        <v>0</v>
      </c>
      <c r="Y15" s="32">
        <f t="shared" si="4"/>
        <v>0</v>
      </c>
      <c r="Z15" s="32">
        <f t="shared" si="4"/>
        <v>0</v>
      </c>
      <c r="AA15" s="32">
        <f t="shared" si="4"/>
        <v>0</v>
      </c>
      <c r="AB15" s="32">
        <f t="shared" si="4"/>
        <v>0</v>
      </c>
      <c r="AC15" s="32">
        <f t="shared" si="4"/>
        <v>0</v>
      </c>
      <c r="AD15" s="32">
        <f t="shared" si="4"/>
        <v>0</v>
      </c>
      <c r="AE15" s="32">
        <f t="shared" si="4"/>
        <v>0</v>
      </c>
    </row>
    <row r="16" spans="4:31">
      <c r="D16" s="33">
        <v>45992</v>
      </c>
      <c r="E16" s="32">
        <f t="shared" si="1"/>
        <v>0</v>
      </c>
      <c r="F16" s="32">
        <f t="shared" si="5"/>
        <v>0</v>
      </c>
      <c r="G16" s="32">
        <f t="shared" si="2"/>
        <v>0</v>
      </c>
      <c r="H16" s="32">
        <f t="shared" si="3"/>
        <v>0</v>
      </c>
      <c r="I16" s="32">
        <f t="shared" si="3"/>
        <v>0</v>
      </c>
      <c r="J16" s="32">
        <f t="shared" si="3"/>
        <v>0</v>
      </c>
      <c r="K16" s="32">
        <f t="shared" si="3"/>
        <v>0</v>
      </c>
      <c r="L16" s="32">
        <f t="shared" si="3"/>
        <v>0</v>
      </c>
      <c r="M16" s="32">
        <f t="shared" si="3"/>
        <v>0</v>
      </c>
      <c r="N16" s="32">
        <f t="shared" si="3"/>
        <v>0</v>
      </c>
      <c r="O16" s="32">
        <f t="shared" si="3"/>
        <v>0</v>
      </c>
      <c r="P16" s="32">
        <f t="shared" si="3"/>
        <v>0</v>
      </c>
      <c r="Q16" s="32">
        <f t="shared" si="3"/>
        <v>0</v>
      </c>
      <c r="R16" s="32">
        <f t="shared" si="4"/>
        <v>0</v>
      </c>
      <c r="S16" s="32">
        <f t="shared" si="4"/>
        <v>0</v>
      </c>
      <c r="T16" s="32">
        <f t="shared" si="4"/>
        <v>0</v>
      </c>
      <c r="U16" s="32">
        <f t="shared" si="4"/>
        <v>0</v>
      </c>
      <c r="V16" s="32">
        <f t="shared" si="4"/>
        <v>0</v>
      </c>
      <c r="W16" s="32">
        <f t="shared" si="4"/>
        <v>0</v>
      </c>
      <c r="X16" s="32">
        <f t="shared" si="4"/>
        <v>0</v>
      </c>
      <c r="Y16" s="32">
        <f t="shared" si="4"/>
        <v>0</v>
      </c>
      <c r="Z16" s="32">
        <f t="shared" si="4"/>
        <v>0</v>
      </c>
      <c r="AA16" s="32">
        <f t="shared" si="4"/>
        <v>0</v>
      </c>
      <c r="AB16" s="32">
        <f t="shared" si="4"/>
        <v>0</v>
      </c>
      <c r="AC16" s="32">
        <f t="shared" si="4"/>
        <v>0</v>
      </c>
      <c r="AD16" s="32">
        <f t="shared" si="4"/>
        <v>0</v>
      </c>
      <c r="AE16" s="32">
        <f t="shared" si="4"/>
        <v>0</v>
      </c>
    </row>
    <row r="17" spans="4:32">
      <c r="D17" s="33"/>
      <c r="E17" s="38">
        <f>SUM(E5:E16)</f>
        <v>0</v>
      </c>
      <c r="F17" s="38">
        <f t="shared" ref="F17:AE17" si="6">SUM(F5:F16)</f>
        <v>0</v>
      </c>
      <c r="G17" s="38">
        <f t="shared" si="6"/>
        <v>0</v>
      </c>
      <c r="H17" s="38">
        <f t="shared" si="6"/>
        <v>0</v>
      </c>
      <c r="I17" s="38">
        <f t="shared" si="6"/>
        <v>0</v>
      </c>
      <c r="J17" s="38">
        <f t="shared" si="6"/>
        <v>0</v>
      </c>
      <c r="K17" s="38">
        <f t="shared" si="6"/>
        <v>0</v>
      </c>
      <c r="L17" s="38">
        <f t="shared" si="6"/>
        <v>0</v>
      </c>
      <c r="M17" s="38">
        <f t="shared" si="6"/>
        <v>0</v>
      </c>
      <c r="N17" s="38">
        <f t="shared" si="6"/>
        <v>0</v>
      </c>
      <c r="O17" s="38">
        <f t="shared" si="6"/>
        <v>0</v>
      </c>
      <c r="P17" s="38">
        <f t="shared" si="6"/>
        <v>0</v>
      </c>
      <c r="Q17" s="38">
        <f t="shared" si="6"/>
        <v>0</v>
      </c>
      <c r="R17" s="38">
        <f t="shared" si="6"/>
        <v>0</v>
      </c>
      <c r="S17" s="38">
        <f t="shared" si="6"/>
        <v>0</v>
      </c>
      <c r="T17" s="38">
        <f t="shared" si="6"/>
        <v>0</v>
      </c>
      <c r="U17" s="38">
        <f t="shared" si="6"/>
        <v>0</v>
      </c>
      <c r="V17" s="38">
        <f t="shared" si="6"/>
        <v>0</v>
      </c>
      <c r="W17" s="38">
        <f t="shared" si="6"/>
        <v>0</v>
      </c>
      <c r="X17" s="38">
        <f t="shared" si="6"/>
        <v>0</v>
      </c>
      <c r="Y17" s="38">
        <f t="shared" si="6"/>
        <v>0</v>
      </c>
      <c r="Z17" s="38">
        <f t="shared" si="6"/>
        <v>0</v>
      </c>
      <c r="AA17" s="38">
        <f t="shared" si="6"/>
        <v>0</v>
      </c>
      <c r="AB17" s="38">
        <f t="shared" si="6"/>
        <v>0</v>
      </c>
      <c r="AC17" s="38">
        <f t="shared" si="6"/>
        <v>0</v>
      </c>
      <c r="AD17" s="38">
        <f t="shared" si="6"/>
        <v>0</v>
      </c>
      <c r="AE17" s="38">
        <f t="shared" si="6"/>
        <v>0</v>
      </c>
      <c r="AF17" s="38">
        <f>SUM(E17:AE17)</f>
        <v>0</v>
      </c>
    </row>
    <row r="18" spans="4:32">
      <c r="D18" s="31"/>
    </row>
    <row r="21" spans="4:32">
      <c r="E21" s="37" t="s">
        <v>40</v>
      </c>
      <c r="F21" s="37" t="s">
        <v>42</v>
      </c>
      <c r="G21" s="37" t="s">
        <v>46</v>
      </c>
      <c r="H21" s="37" t="s">
        <v>50</v>
      </c>
      <c r="I21" s="37" t="s">
        <v>52</v>
      </c>
      <c r="J21" s="37" t="s">
        <v>55</v>
      </c>
      <c r="K21" s="37" t="s">
        <v>59</v>
      </c>
      <c r="L21" s="37" t="s">
        <v>62</v>
      </c>
      <c r="M21" s="37" t="s">
        <v>64</v>
      </c>
      <c r="N21" s="37" t="s">
        <v>65</v>
      </c>
      <c r="O21" s="37" t="s">
        <v>66</v>
      </c>
      <c r="P21" s="37" t="s">
        <v>67</v>
      </c>
      <c r="Q21" s="37" t="s">
        <v>68</v>
      </c>
      <c r="R21" s="37" t="s">
        <v>43</v>
      </c>
      <c r="S21" s="37" t="s">
        <v>34</v>
      </c>
      <c r="T21" s="37" t="s">
        <v>70</v>
      </c>
      <c r="U21" s="37" t="s">
        <v>72</v>
      </c>
      <c r="V21" s="37" t="s">
        <v>73</v>
      </c>
      <c r="W21" s="37" t="s">
        <v>74</v>
      </c>
      <c r="X21" s="37" t="s">
        <v>71</v>
      </c>
      <c r="Y21" s="37" t="s">
        <v>56</v>
      </c>
      <c r="Z21" s="37" t="s">
        <v>69</v>
      </c>
      <c r="AA21" s="37" t="s">
        <v>75</v>
      </c>
      <c r="AB21" s="37" t="s">
        <v>76</v>
      </c>
      <c r="AC21" s="37" t="s">
        <v>77</v>
      </c>
      <c r="AD21" s="37" t="s">
        <v>78</v>
      </c>
      <c r="AE21" s="37" t="s">
        <v>79</v>
      </c>
    </row>
    <row r="22" spans="4:32">
      <c r="D22" s="34">
        <f>D5</f>
        <v>45658</v>
      </c>
      <c r="E22" s="32">
        <f>SUMIF(AT1_intervalo_criterio,TEXT($D22,"MMAAAA")&amp;"uniportas"&amp;E$4,AU1_soma_criterio)</f>
        <v>0</v>
      </c>
      <c r="F22" s="32">
        <f t="shared" ref="E22:N33" si="7">SUMIF(AT1_intervalo_criterio,TEXT($D22,"MMAAAA")&amp;"uniportas"&amp;F$4,AU1_soma_criterio)</f>
        <v>0</v>
      </c>
      <c r="G22" s="32">
        <f t="shared" si="7"/>
        <v>0</v>
      </c>
      <c r="H22" s="32">
        <f t="shared" si="7"/>
        <v>0</v>
      </c>
      <c r="I22" s="32">
        <f t="shared" si="7"/>
        <v>0</v>
      </c>
      <c r="J22" s="32">
        <f t="shared" si="7"/>
        <v>0</v>
      </c>
      <c r="K22" s="32">
        <f t="shared" si="7"/>
        <v>0</v>
      </c>
      <c r="L22" s="32">
        <f t="shared" si="7"/>
        <v>0</v>
      </c>
      <c r="M22" s="32">
        <f t="shared" si="7"/>
        <v>0</v>
      </c>
      <c r="N22" s="32">
        <f t="shared" si="7"/>
        <v>0</v>
      </c>
      <c r="O22" s="32">
        <f t="shared" ref="O22:X33" si="8">SUMIF(AT1_intervalo_criterio,TEXT($D22,"MMAAAA")&amp;"uniportas"&amp;O$4,AU1_soma_criterio)</f>
        <v>0</v>
      </c>
      <c r="P22" s="32">
        <f t="shared" si="8"/>
        <v>0</v>
      </c>
      <c r="Q22" s="32">
        <f t="shared" si="8"/>
        <v>0</v>
      </c>
      <c r="R22" s="32">
        <f t="shared" si="8"/>
        <v>0</v>
      </c>
      <c r="S22" s="32">
        <f t="shared" si="8"/>
        <v>0</v>
      </c>
      <c r="T22" s="32">
        <f t="shared" si="8"/>
        <v>0</v>
      </c>
      <c r="U22" s="32">
        <f t="shared" si="8"/>
        <v>0</v>
      </c>
      <c r="V22" s="32">
        <f t="shared" si="8"/>
        <v>0</v>
      </c>
      <c r="W22" s="32">
        <f t="shared" si="8"/>
        <v>0</v>
      </c>
      <c r="X22" s="32">
        <f t="shared" si="8"/>
        <v>0</v>
      </c>
      <c r="Y22" s="32">
        <f t="shared" ref="Y22:AE33" si="9">SUMIF(AT1_intervalo_criterio,TEXT($D22,"MMAAAA")&amp;"uniportas"&amp;Y$4,AU1_soma_criterio)</f>
        <v>0</v>
      </c>
      <c r="Z22" s="32">
        <f t="shared" si="9"/>
        <v>0</v>
      </c>
      <c r="AA22" s="32">
        <f t="shared" si="9"/>
        <v>0</v>
      </c>
      <c r="AB22" s="32">
        <f t="shared" si="9"/>
        <v>0</v>
      </c>
      <c r="AC22" s="32">
        <f t="shared" si="9"/>
        <v>0</v>
      </c>
      <c r="AD22" s="32">
        <f t="shared" si="9"/>
        <v>0</v>
      </c>
      <c r="AE22" s="32">
        <f t="shared" si="9"/>
        <v>0</v>
      </c>
    </row>
    <row r="23" spans="4:32">
      <c r="D23" s="34">
        <f t="shared" ref="D23:D33" si="10">D6</f>
        <v>45689</v>
      </c>
      <c r="E23" s="32">
        <f t="shared" si="7"/>
        <v>0</v>
      </c>
      <c r="F23" s="32">
        <f t="shared" si="7"/>
        <v>0</v>
      </c>
      <c r="G23" s="32">
        <f t="shared" si="7"/>
        <v>0</v>
      </c>
      <c r="H23" s="32">
        <f t="shared" si="7"/>
        <v>0</v>
      </c>
      <c r="I23" s="32">
        <f t="shared" si="7"/>
        <v>0</v>
      </c>
      <c r="J23" s="32">
        <f t="shared" si="7"/>
        <v>0</v>
      </c>
      <c r="K23" s="32">
        <f t="shared" si="7"/>
        <v>0</v>
      </c>
      <c r="L23" s="32">
        <f t="shared" si="7"/>
        <v>0</v>
      </c>
      <c r="M23" s="32">
        <f t="shared" si="7"/>
        <v>0</v>
      </c>
      <c r="N23" s="32">
        <f t="shared" si="7"/>
        <v>0</v>
      </c>
      <c r="O23" s="32">
        <f t="shared" si="8"/>
        <v>0</v>
      </c>
      <c r="P23" s="32">
        <f t="shared" si="8"/>
        <v>0</v>
      </c>
      <c r="Q23" s="32">
        <f t="shared" si="8"/>
        <v>0</v>
      </c>
      <c r="R23" s="32">
        <f t="shared" si="8"/>
        <v>0</v>
      </c>
      <c r="S23" s="32">
        <f t="shared" si="8"/>
        <v>0</v>
      </c>
      <c r="T23" s="32">
        <f t="shared" si="8"/>
        <v>0</v>
      </c>
      <c r="U23" s="32">
        <f t="shared" si="8"/>
        <v>0</v>
      </c>
      <c r="V23" s="32">
        <f t="shared" si="8"/>
        <v>0</v>
      </c>
      <c r="W23" s="32">
        <f t="shared" si="8"/>
        <v>0</v>
      </c>
      <c r="X23" s="32">
        <f t="shared" si="8"/>
        <v>0</v>
      </c>
      <c r="Y23" s="32">
        <f t="shared" si="9"/>
        <v>0</v>
      </c>
      <c r="Z23" s="32">
        <f t="shared" si="9"/>
        <v>0</v>
      </c>
      <c r="AA23" s="32">
        <f t="shared" si="9"/>
        <v>0</v>
      </c>
      <c r="AB23" s="32">
        <f t="shared" si="9"/>
        <v>0</v>
      </c>
      <c r="AC23" s="32">
        <f t="shared" si="9"/>
        <v>0</v>
      </c>
      <c r="AD23" s="32">
        <f t="shared" si="9"/>
        <v>0</v>
      </c>
      <c r="AE23" s="32">
        <f t="shared" si="9"/>
        <v>0</v>
      </c>
    </row>
    <row r="24" spans="4:32">
      <c r="D24" s="34">
        <f t="shared" si="10"/>
        <v>45717</v>
      </c>
      <c r="E24" s="32">
        <f t="shared" si="7"/>
        <v>0</v>
      </c>
      <c r="F24" s="32">
        <f t="shared" si="7"/>
        <v>0</v>
      </c>
      <c r="G24" s="32">
        <f t="shared" si="7"/>
        <v>0</v>
      </c>
      <c r="H24" s="32">
        <f t="shared" si="7"/>
        <v>0</v>
      </c>
      <c r="I24" s="32">
        <f t="shared" si="7"/>
        <v>0</v>
      </c>
      <c r="J24" s="32">
        <f t="shared" si="7"/>
        <v>0</v>
      </c>
      <c r="K24" s="32">
        <f t="shared" si="7"/>
        <v>0</v>
      </c>
      <c r="L24" s="32">
        <f t="shared" si="7"/>
        <v>0</v>
      </c>
      <c r="M24" s="32">
        <f t="shared" si="7"/>
        <v>0</v>
      </c>
      <c r="N24" s="32">
        <f t="shared" si="7"/>
        <v>0</v>
      </c>
      <c r="O24" s="32">
        <f t="shared" si="8"/>
        <v>0</v>
      </c>
      <c r="P24" s="32">
        <f t="shared" si="8"/>
        <v>0</v>
      </c>
      <c r="Q24" s="32">
        <f t="shared" si="8"/>
        <v>0</v>
      </c>
      <c r="R24" s="32">
        <f t="shared" si="8"/>
        <v>0</v>
      </c>
      <c r="S24" s="32">
        <f t="shared" si="8"/>
        <v>0</v>
      </c>
      <c r="T24" s="32">
        <f t="shared" si="8"/>
        <v>0</v>
      </c>
      <c r="U24" s="32">
        <f t="shared" si="8"/>
        <v>0</v>
      </c>
      <c r="V24" s="32">
        <f t="shared" si="8"/>
        <v>0</v>
      </c>
      <c r="W24" s="32">
        <f t="shared" si="8"/>
        <v>0</v>
      </c>
      <c r="X24" s="32">
        <f t="shared" si="8"/>
        <v>0</v>
      </c>
      <c r="Y24" s="32">
        <f t="shared" si="9"/>
        <v>0</v>
      </c>
      <c r="Z24" s="32">
        <f t="shared" si="9"/>
        <v>0</v>
      </c>
      <c r="AA24" s="32">
        <f t="shared" si="9"/>
        <v>0</v>
      </c>
      <c r="AB24" s="32">
        <f t="shared" si="9"/>
        <v>0</v>
      </c>
      <c r="AC24" s="32">
        <f t="shared" si="9"/>
        <v>0</v>
      </c>
      <c r="AD24" s="32">
        <f t="shared" si="9"/>
        <v>0</v>
      </c>
      <c r="AE24" s="32">
        <f t="shared" si="9"/>
        <v>0</v>
      </c>
    </row>
    <row r="25" spans="4:32">
      <c r="D25" s="34">
        <f t="shared" si="10"/>
        <v>45748</v>
      </c>
      <c r="E25" s="32">
        <f t="shared" si="7"/>
        <v>0</v>
      </c>
      <c r="F25" s="32">
        <f t="shared" si="7"/>
        <v>0</v>
      </c>
      <c r="G25" s="32">
        <f t="shared" si="7"/>
        <v>0</v>
      </c>
      <c r="H25" s="32">
        <f t="shared" si="7"/>
        <v>0</v>
      </c>
      <c r="I25" s="32">
        <f t="shared" si="7"/>
        <v>0</v>
      </c>
      <c r="J25" s="32">
        <f t="shared" si="7"/>
        <v>0</v>
      </c>
      <c r="K25" s="32">
        <f t="shared" si="7"/>
        <v>0</v>
      </c>
      <c r="L25" s="32">
        <f t="shared" si="7"/>
        <v>0</v>
      </c>
      <c r="M25" s="32">
        <f t="shared" si="7"/>
        <v>0</v>
      </c>
      <c r="N25" s="32">
        <f t="shared" si="7"/>
        <v>0</v>
      </c>
      <c r="O25" s="32">
        <f t="shared" si="8"/>
        <v>0</v>
      </c>
      <c r="P25" s="32">
        <f t="shared" si="8"/>
        <v>0</v>
      </c>
      <c r="Q25" s="32">
        <f t="shared" si="8"/>
        <v>0</v>
      </c>
      <c r="R25" s="32">
        <f t="shared" si="8"/>
        <v>0</v>
      </c>
      <c r="S25" s="32">
        <f t="shared" si="8"/>
        <v>0</v>
      </c>
      <c r="T25" s="32">
        <f t="shared" si="8"/>
        <v>0</v>
      </c>
      <c r="U25" s="32">
        <f t="shared" si="8"/>
        <v>0</v>
      </c>
      <c r="V25" s="32">
        <f t="shared" si="8"/>
        <v>0</v>
      </c>
      <c r="W25" s="32">
        <f t="shared" si="8"/>
        <v>0</v>
      </c>
      <c r="X25" s="32">
        <f t="shared" si="8"/>
        <v>0</v>
      </c>
      <c r="Y25" s="32">
        <f t="shared" si="9"/>
        <v>0</v>
      </c>
      <c r="Z25" s="32">
        <f t="shared" si="9"/>
        <v>0</v>
      </c>
      <c r="AA25" s="32">
        <f t="shared" si="9"/>
        <v>0</v>
      </c>
      <c r="AB25" s="32">
        <f t="shared" si="9"/>
        <v>0</v>
      </c>
      <c r="AC25" s="32">
        <f t="shared" si="9"/>
        <v>0</v>
      </c>
      <c r="AD25" s="32">
        <f t="shared" si="9"/>
        <v>0</v>
      </c>
      <c r="AE25" s="32">
        <f t="shared" si="9"/>
        <v>0</v>
      </c>
    </row>
    <row r="26" spans="4:32">
      <c r="D26" s="34">
        <f t="shared" si="10"/>
        <v>45778</v>
      </c>
      <c r="E26" s="32">
        <f t="shared" si="7"/>
        <v>0</v>
      </c>
      <c r="F26" s="32">
        <f t="shared" si="7"/>
        <v>0</v>
      </c>
      <c r="G26" s="32">
        <f t="shared" si="7"/>
        <v>0</v>
      </c>
      <c r="H26" s="32">
        <f t="shared" si="7"/>
        <v>0</v>
      </c>
      <c r="I26" s="32">
        <f t="shared" si="7"/>
        <v>0</v>
      </c>
      <c r="J26" s="32">
        <f t="shared" si="7"/>
        <v>0</v>
      </c>
      <c r="K26" s="32">
        <f t="shared" si="7"/>
        <v>0</v>
      </c>
      <c r="L26" s="32">
        <f t="shared" si="7"/>
        <v>0</v>
      </c>
      <c r="M26" s="32">
        <f t="shared" si="7"/>
        <v>0</v>
      </c>
      <c r="N26" s="32">
        <f t="shared" si="7"/>
        <v>0</v>
      </c>
      <c r="O26" s="32">
        <f t="shared" si="8"/>
        <v>0</v>
      </c>
      <c r="P26" s="32">
        <f t="shared" si="8"/>
        <v>0</v>
      </c>
      <c r="Q26" s="32">
        <f t="shared" si="8"/>
        <v>0</v>
      </c>
      <c r="R26" s="32">
        <f t="shared" si="8"/>
        <v>0</v>
      </c>
      <c r="S26" s="32">
        <f t="shared" si="8"/>
        <v>0</v>
      </c>
      <c r="T26" s="32">
        <f t="shared" si="8"/>
        <v>0</v>
      </c>
      <c r="U26" s="32">
        <f t="shared" si="8"/>
        <v>0</v>
      </c>
      <c r="V26" s="32">
        <f t="shared" si="8"/>
        <v>0</v>
      </c>
      <c r="W26" s="32">
        <f t="shared" si="8"/>
        <v>0</v>
      </c>
      <c r="X26" s="32">
        <f t="shared" si="8"/>
        <v>0</v>
      </c>
      <c r="Y26" s="32">
        <f t="shared" si="9"/>
        <v>0</v>
      </c>
      <c r="Z26" s="32">
        <f t="shared" si="9"/>
        <v>0</v>
      </c>
      <c r="AA26" s="32">
        <f t="shared" si="9"/>
        <v>0</v>
      </c>
      <c r="AB26" s="32">
        <f t="shared" si="9"/>
        <v>0</v>
      </c>
      <c r="AC26" s="32">
        <f t="shared" si="9"/>
        <v>0</v>
      </c>
      <c r="AD26" s="32">
        <f t="shared" si="9"/>
        <v>0</v>
      </c>
      <c r="AE26" s="32">
        <f t="shared" si="9"/>
        <v>0</v>
      </c>
    </row>
    <row r="27" spans="4:32">
      <c r="D27" s="34">
        <f t="shared" si="10"/>
        <v>45809</v>
      </c>
      <c r="E27" s="32">
        <f t="shared" si="7"/>
        <v>0</v>
      </c>
      <c r="F27" s="32">
        <f t="shared" si="7"/>
        <v>0</v>
      </c>
      <c r="G27" s="32">
        <f t="shared" si="7"/>
        <v>0</v>
      </c>
      <c r="H27" s="32">
        <f t="shared" si="7"/>
        <v>0</v>
      </c>
      <c r="I27" s="32">
        <f t="shared" si="7"/>
        <v>0</v>
      </c>
      <c r="J27" s="32">
        <f t="shared" si="7"/>
        <v>0</v>
      </c>
      <c r="K27" s="32">
        <f t="shared" si="7"/>
        <v>0</v>
      </c>
      <c r="L27" s="32">
        <f t="shared" si="7"/>
        <v>0</v>
      </c>
      <c r="M27" s="32">
        <f t="shared" si="7"/>
        <v>0</v>
      </c>
      <c r="N27" s="32">
        <f t="shared" si="7"/>
        <v>0</v>
      </c>
      <c r="O27" s="32">
        <f t="shared" si="8"/>
        <v>0</v>
      </c>
      <c r="P27" s="32">
        <f t="shared" si="8"/>
        <v>0</v>
      </c>
      <c r="Q27" s="32">
        <f t="shared" si="8"/>
        <v>0</v>
      </c>
      <c r="R27" s="32">
        <f t="shared" si="8"/>
        <v>0</v>
      </c>
      <c r="S27" s="32">
        <f t="shared" si="8"/>
        <v>0</v>
      </c>
      <c r="T27" s="32">
        <f t="shared" si="8"/>
        <v>0</v>
      </c>
      <c r="U27" s="32">
        <f t="shared" si="8"/>
        <v>0</v>
      </c>
      <c r="V27" s="32">
        <f t="shared" si="8"/>
        <v>0</v>
      </c>
      <c r="W27" s="32">
        <f t="shared" si="8"/>
        <v>0</v>
      </c>
      <c r="X27" s="32">
        <f t="shared" si="8"/>
        <v>0</v>
      </c>
      <c r="Y27" s="32">
        <f t="shared" si="9"/>
        <v>0</v>
      </c>
      <c r="Z27" s="32">
        <f t="shared" si="9"/>
        <v>0</v>
      </c>
      <c r="AA27" s="32">
        <f t="shared" si="9"/>
        <v>0</v>
      </c>
      <c r="AB27" s="32">
        <f t="shared" si="9"/>
        <v>0</v>
      </c>
      <c r="AC27" s="32">
        <f t="shared" si="9"/>
        <v>0</v>
      </c>
      <c r="AD27" s="32">
        <f t="shared" si="9"/>
        <v>0</v>
      </c>
      <c r="AE27" s="32">
        <f t="shared" si="9"/>
        <v>0</v>
      </c>
    </row>
    <row r="28" spans="4:32">
      <c r="D28" s="34">
        <f t="shared" si="10"/>
        <v>45839</v>
      </c>
      <c r="E28" s="32">
        <f t="shared" si="7"/>
        <v>0</v>
      </c>
      <c r="F28" s="32">
        <f t="shared" si="7"/>
        <v>0</v>
      </c>
      <c r="G28" s="32">
        <f t="shared" si="7"/>
        <v>0</v>
      </c>
      <c r="H28" s="32">
        <f t="shared" si="7"/>
        <v>0</v>
      </c>
      <c r="I28" s="32">
        <f t="shared" si="7"/>
        <v>0</v>
      </c>
      <c r="J28" s="32">
        <f t="shared" si="7"/>
        <v>0</v>
      </c>
      <c r="K28" s="32">
        <f t="shared" si="7"/>
        <v>0</v>
      </c>
      <c r="L28" s="32">
        <f t="shared" si="7"/>
        <v>0</v>
      </c>
      <c r="M28" s="32">
        <f t="shared" si="7"/>
        <v>0</v>
      </c>
      <c r="N28" s="32">
        <f t="shared" si="7"/>
        <v>0</v>
      </c>
      <c r="O28" s="32">
        <f t="shared" si="8"/>
        <v>0</v>
      </c>
      <c r="P28" s="32">
        <f t="shared" si="8"/>
        <v>0</v>
      </c>
      <c r="Q28" s="32">
        <f t="shared" si="8"/>
        <v>0</v>
      </c>
      <c r="R28" s="32">
        <f t="shared" si="8"/>
        <v>0</v>
      </c>
      <c r="S28" s="32">
        <f t="shared" si="8"/>
        <v>0</v>
      </c>
      <c r="T28" s="32">
        <f t="shared" si="8"/>
        <v>0</v>
      </c>
      <c r="U28" s="32">
        <f t="shared" si="8"/>
        <v>0</v>
      </c>
      <c r="V28" s="32">
        <f t="shared" si="8"/>
        <v>0</v>
      </c>
      <c r="W28" s="32">
        <f t="shared" si="8"/>
        <v>0</v>
      </c>
      <c r="X28" s="32">
        <f t="shared" si="8"/>
        <v>0</v>
      </c>
      <c r="Y28" s="32">
        <f t="shared" si="9"/>
        <v>0</v>
      </c>
      <c r="Z28" s="32">
        <f t="shared" si="9"/>
        <v>0</v>
      </c>
      <c r="AA28" s="32">
        <f t="shared" si="9"/>
        <v>0</v>
      </c>
      <c r="AB28" s="32">
        <f t="shared" si="9"/>
        <v>0</v>
      </c>
      <c r="AC28" s="32">
        <f t="shared" si="9"/>
        <v>0</v>
      </c>
      <c r="AD28" s="32">
        <f t="shared" si="9"/>
        <v>0</v>
      </c>
      <c r="AE28" s="32">
        <f t="shared" si="9"/>
        <v>0</v>
      </c>
    </row>
    <row r="29" spans="4:32">
      <c r="D29" s="34">
        <f t="shared" si="10"/>
        <v>45870</v>
      </c>
      <c r="E29" s="32">
        <f t="shared" si="7"/>
        <v>0</v>
      </c>
      <c r="F29" s="32">
        <f t="shared" si="7"/>
        <v>0</v>
      </c>
      <c r="G29" s="32">
        <f t="shared" si="7"/>
        <v>0</v>
      </c>
      <c r="H29" s="32">
        <f t="shared" si="7"/>
        <v>0</v>
      </c>
      <c r="I29" s="32">
        <f t="shared" si="7"/>
        <v>0</v>
      </c>
      <c r="J29" s="32">
        <f t="shared" si="7"/>
        <v>0</v>
      </c>
      <c r="K29" s="32">
        <f t="shared" si="7"/>
        <v>0</v>
      </c>
      <c r="L29" s="32">
        <f t="shared" si="7"/>
        <v>0</v>
      </c>
      <c r="M29" s="32">
        <f t="shared" si="7"/>
        <v>0</v>
      </c>
      <c r="N29" s="32">
        <f t="shared" si="7"/>
        <v>0</v>
      </c>
      <c r="O29" s="32">
        <f t="shared" si="8"/>
        <v>0</v>
      </c>
      <c r="P29" s="32">
        <f t="shared" si="8"/>
        <v>0</v>
      </c>
      <c r="Q29" s="32">
        <f t="shared" si="8"/>
        <v>0</v>
      </c>
      <c r="R29" s="32">
        <f t="shared" si="8"/>
        <v>0</v>
      </c>
      <c r="S29" s="32">
        <f t="shared" si="8"/>
        <v>0</v>
      </c>
      <c r="T29" s="32">
        <f t="shared" si="8"/>
        <v>0</v>
      </c>
      <c r="U29" s="32">
        <f t="shared" si="8"/>
        <v>0</v>
      </c>
      <c r="V29" s="32">
        <f t="shared" si="8"/>
        <v>0</v>
      </c>
      <c r="W29" s="32">
        <f t="shared" si="8"/>
        <v>0</v>
      </c>
      <c r="X29" s="32">
        <f t="shared" si="8"/>
        <v>0</v>
      </c>
      <c r="Y29" s="32">
        <f t="shared" si="9"/>
        <v>0</v>
      </c>
      <c r="Z29" s="32">
        <f t="shared" si="9"/>
        <v>0</v>
      </c>
      <c r="AA29" s="32">
        <f t="shared" si="9"/>
        <v>0</v>
      </c>
      <c r="AB29" s="32">
        <f t="shared" si="9"/>
        <v>0</v>
      </c>
      <c r="AC29" s="32">
        <f t="shared" si="9"/>
        <v>0</v>
      </c>
      <c r="AD29" s="32">
        <f t="shared" si="9"/>
        <v>0</v>
      </c>
      <c r="AE29" s="32">
        <f t="shared" si="9"/>
        <v>0</v>
      </c>
    </row>
    <row r="30" spans="4:32">
      <c r="D30" s="34">
        <f t="shared" si="10"/>
        <v>45901</v>
      </c>
      <c r="E30" s="32">
        <f t="shared" si="7"/>
        <v>0</v>
      </c>
      <c r="F30" s="32">
        <f t="shared" si="7"/>
        <v>0</v>
      </c>
      <c r="G30" s="32">
        <f t="shared" si="7"/>
        <v>0</v>
      </c>
      <c r="H30" s="32">
        <f t="shared" si="7"/>
        <v>0</v>
      </c>
      <c r="I30" s="32">
        <f t="shared" si="7"/>
        <v>0</v>
      </c>
      <c r="J30" s="32">
        <f t="shared" si="7"/>
        <v>0</v>
      </c>
      <c r="K30" s="32">
        <f t="shared" si="7"/>
        <v>0</v>
      </c>
      <c r="L30" s="32">
        <f t="shared" si="7"/>
        <v>0</v>
      </c>
      <c r="M30" s="32">
        <f t="shared" si="7"/>
        <v>0</v>
      </c>
      <c r="N30" s="32">
        <f t="shared" si="7"/>
        <v>0</v>
      </c>
      <c r="O30" s="32">
        <f t="shared" si="8"/>
        <v>0</v>
      </c>
      <c r="P30" s="32">
        <f t="shared" si="8"/>
        <v>0</v>
      </c>
      <c r="Q30" s="32">
        <f t="shared" si="8"/>
        <v>0</v>
      </c>
      <c r="R30" s="32">
        <f t="shared" si="8"/>
        <v>0</v>
      </c>
      <c r="S30" s="32">
        <f t="shared" si="8"/>
        <v>0</v>
      </c>
      <c r="T30" s="32">
        <f t="shared" si="8"/>
        <v>0</v>
      </c>
      <c r="U30" s="32">
        <f t="shared" si="8"/>
        <v>0</v>
      </c>
      <c r="V30" s="32">
        <f t="shared" si="8"/>
        <v>0</v>
      </c>
      <c r="W30" s="32">
        <f t="shared" si="8"/>
        <v>0</v>
      </c>
      <c r="X30" s="32">
        <f t="shared" si="8"/>
        <v>0</v>
      </c>
      <c r="Y30" s="32">
        <f t="shared" si="9"/>
        <v>0</v>
      </c>
      <c r="Z30" s="32">
        <f t="shared" si="9"/>
        <v>0</v>
      </c>
      <c r="AA30" s="32">
        <f t="shared" si="9"/>
        <v>0</v>
      </c>
      <c r="AB30" s="32">
        <f t="shared" si="9"/>
        <v>0</v>
      </c>
      <c r="AC30" s="32">
        <f t="shared" si="9"/>
        <v>0</v>
      </c>
      <c r="AD30" s="32">
        <f t="shared" si="9"/>
        <v>0</v>
      </c>
      <c r="AE30" s="32">
        <f t="shared" si="9"/>
        <v>0</v>
      </c>
    </row>
    <row r="31" spans="4:32">
      <c r="D31" s="34">
        <f t="shared" si="10"/>
        <v>45931</v>
      </c>
      <c r="E31" s="32">
        <f t="shared" si="7"/>
        <v>0</v>
      </c>
      <c r="F31" s="32">
        <f t="shared" si="7"/>
        <v>0</v>
      </c>
      <c r="G31" s="32">
        <f t="shared" si="7"/>
        <v>0</v>
      </c>
      <c r="H31" s="32">
        <f t="shared" si="7"/>
        <v>0</v>
      </c>
      <c r="I31" s="32">
        <f t="shared" si="7"/>
        <v>0</v>
      </c>
      <c r="J31" s="32">
        <f t="shared" si="7"/>
        <v>0</v>
      </c>
      <c r="K31" s="32">
        <f t="shared" si="7"/>
        <v>0</v>
      </c>
      <c r="L31" s="32">
        <f t="shared" si="7"/>
        <v>0</v>
      </c>
      <c r="M31" s="32">
        <f t="shared" si="7"/>
        <v>0</v>
      </c>
      <c r="N31" s="32">
        <f t="shared" si="7"/>
        <v>0</v>
      </c>
      <c r="O31" s="32">
        <f t="shared" si="8"/>
        <v>0</v>
      </c>
      <c r="P31" s="32">
        <f t="shared" si="8"/>
        <v>0</v>
      </c>
      <c r="Q31" s="32">
        <f t="shared" si="8"/>
        <v>0</v>
      </c>
      <c r="R31" s="32">
        <f t="shared" si="8"/>
        <v>0</v>
      </c>
      <c r="S31" s="32">
        <f t="shared" si="8"/>
        <v>0</v>
      </c>
      <c r="T31" s="32">
        <f t="shared" si="8"/>
        <v>0</v>
      </c>
      <c r="U31" s="32">
        <f t="shared" si="8"/>
        <v>0</v>
      </c>
      <c r="V31" s="32">
        <f t="shared" si="8"/>
        <v>0</v>
      </c>
      <c r="W31" s="32">
        <f t="shared" si="8"/>
        <v>0</v>
      </c>
      <c r="X31" s="32">
        <f t="shared" si="8"/>
        <v>0</v>
      </c>
      <c r="Y31" s="32">
        <f t="shared" si="9"/>
        <v>0</v>
      </c>
      <c r="Z31" s="32">
        <f t="shared" si="9"/>
        <v>0</v>
      </c>
      <c r="AA31" s="32">
        <f t="shared" si="9"/>
        <v>0</v>
      </c>
      <c r="AB31" s="32">
        <f t="shared" si="9"/>
        <v>0</v>
      </c>
      <c r="AC31" s="32">
        <f t="shared" si="9"/>
        <v>0</v>
      </c>
      <c r="AD31" s="32">
        <f t="shared" si="9"/>
        <v>0</v>
      </c>
      <c r="AE31" s="32">
        <f t="shared" si="9"/>
        <v>0</v>
      </c>
    </row>
    <row r="32" spans="4:32">
      <c r="D32" s="34">
        <f t="shared" si="10"/>
        <v>45962</v>
      </c>
      <c r="E32" s="32">
        <f t="shared" si="7"/>
        <v>0</v>
      </c>
      <c r="F32" s="32">
        <f t="shared" si="7"/>
        <v>0</v>
      </c>
      <c r="G32" s="32">
        <f t="shared" si="7"/>
        <v>0</v>
      </c>
      <c r="H32" s="32">
        <f t="shared" si="7"/>
        <v>0</v>
      </c>
      <c r="I32" s="32">
        <f t="shared" si="7"/>
        <v>0</v>
      </c>
      <c r="J32" s="32">
        <f t="shared" si="7"/>
        <v>0</v>
      </c>
      <c r="K32" s="32">
        <f t="shared" si="7"/>
        <v>0</v>
      </c>
      <c r="L32" s="32">
        <f t="shared" si="7"/>
        <v>0</v>
      </c>
      <c r="M32" s="32">
        <f t="shared" si="7"/>
        <v>0</v>
      </c>
      <c r="N32" s="32">
        <f t="shared" si="7"/>
        <v>0</v>
      </c>
      <c r="O32" s="32">
        <f t="shared" si="8"/>
        <v>0</v>
      </c>
      <c r="P32" s="32">
        <f t="shared" si="8"/>
        <v>0</v>
      </c>
      <c r="Q32" s="32">
        <f t="shared" si="8"/>
        <v>0</v>
      </c>
      <c r="R32" s="32">
        <f t="shared" si="8"/>
        <v>0</v>
      </c>
      <c r="S32" s="32">
        <f t="shared" si="8"/>
        <v>0</v>
      </c>
      <c r="T32" s="32">
        <f t="shared" si="8"/>
        <v>0</v>
      </c>
      <c r="U32" s="32">
        <f t="shared" si="8"/>
        <v>0</v>
      </c>
      <c r="V32" s="32">
        <f t="shared" si="8"/>
        <v>0</v>
      </c>
      <c r="W32" s="32">
        <f t="shared" si="8"/>
        <v>0</v>
      </c>
      <c r="X32" s="32">
        <f t="shared" si="8"/>
        <v>0</v>
      </c>
      <c r="Y32" s="32">
        <f t="shared" si="9"/>
        <v>0</v>
      </c>
      <c r="Z32" s="32">
        <f t="shared" si="9"/>
        <v>0</v>
      </c>
      <c r="AA32" s="32">
        <f t="shared" si="9"/>
        <v>0</v>
      </c>
      <c r="AB32" s="32">
        <f t="shared" si="9"/>
        <v>0</v>
      </c>
      <c r="AC32" s="32">
        <f t="shared" si="9"/>
        <v>0</v>
      </c>
      <c r="AD32" s="32">
        <f t="shared" si="9"/>
        <v>0</v>
      </c>
      <c r="AE32" s="32">
        <f t="shared" si="9"/>
        <v>0</v>
      </c>
    </row>
    <row r="33" spans="4:32">
      <c r="D33" s="34">
        <f t="shared" si="10"/>
        <v>45992</v>
      </c>
      <c r="E33" s="32">
        <f t="shared" si="7"/>
        <v>0</v>
      </c>
      <c r="F33" s="32">
        <f t="shared" si="7"/>
        <v>0</v>
      </c>
      <c r="G33" s="32">
        <f t="shared" si="7"/>
        <v>0</v>
      </c>
      <c r="H33" s="32">
        <f t="shared" si="7"/>
        <v>0</v>
      </c>
      <c r="I33" s="32">
        <f t="shared" si="7"/>
        <v>0</v>
      </c>
      <c r="J33" s="32">
        <f t="shared" si="7"/>
        <v>0</v>
      </c>
      <c r="K33" s="32">
        <f t="shared" si="7"/>
        <v>0</v>
      </c>
      <c r="L33" s="32">
        <f t="shared" si="7"/>
        <v>0</v>
      </c>
      <c r="M33" s="32">
        <f t="shared" si="7"/>
        <v>0</v>
      </c>
      <c r="N33" s="32">
        <f t="shared" si="7"/>
        <v>0</v>
      </c>
      <c r="O33" s="32">
        <f t="shared" si="8"/>
        <v>0</v>
      </c>
      <c r="P33" s="32">
        <f t="shared" si="8"/>
        <v>0</v>
      </c>
      <c r="Q33" s="32">
        <f t="shared" si="8"/>
        <v>0</v>
      </c>
      <c r="R33" s="32">
        <f t="shared" si="8"/>
        <v>0</v>
      </c>
      <c r="S33" s="32">
        <f t="shared" si="8"/>
        <v>0</v>
      </c>
      <c r="T33" s="32">
        <f t="shared" si="8"/>
        <v>0</v>
      </c>
      <c r="U33" s="32">
        <f t="shared" si="8"/>
        <v>0</v>
      </c>
      <c r="V33" s="32">
        <f t="shared" si="8"/>
        <v>0</v>
      </c>
      <c r="W33" s="32">
        <f t="shared" si="8"/>
        <v>0</v>
      </c>
      <c r="X33" s="32">
        <f t="shared" si="8"/>
        <v>0</v>
      </c>
      <c r="Y33" s="32">
        <f t="shared" si="9"/>
        <v>0</v>
      </c>
      <c r="Z33" s="32">
        <f t="shared" si="9"/>
        <v>0</v>
      </c>
      <c r="AA33" s="32">
        <f t="shared" si="9"/>
        <v>0</v>
      </c>
      <c r="AB33" s="32">
        <f t="shared" si="9"/>
        <v>0</v>
      </c>
      <c r="AC33" s="32">
        <f t="shared" si="9"/>
        <v>0</v>
      </c>
      <c r="AD33" s="32">
        <f t="shared" si="9"/>
        <v>0</v>
      </c>
      <c r="AE33" s="32">
        <f t="shared" si="9"/>
        <v>0</v>
      </c>
    </row>
    <row r="34" spans="4:32">
      <c r="D34" s="34"/>
      <c r="E34" s="37">
        <f>SUM(E22:E33)</f>
        <v>0</v>
      </c>
      <c r="F34" s="37">
        <f t="shared" ref="F34:AE34" si="11">SUM(F22:F33)</f>
        <v>0</v>
      </c>
      <c r="G34" s="37">
        <f t="shared" si="11"/>
        <v>0</v>
      </c>
      <c r="H34" s="37">
        <f t="shared" si="11"/>
        <v>0</v>
      </c>
      <c r="I34" s="37">
        <f t="shared" si="11"/>
        <v>0</v>
      </c>
      <c r="J34" s="37">
        <f t="shared" si="11"/>
        <v>0</v>
      </c>
      <c r="K34" s="37">
        <f t="shared" si="11"/>
        <v>0</v>
      </c>
      <c r="L34" s="37">
        <f t="shared" si="11"/>
        <v>0</v>
      </c>
      <c r="M34" s="37">
        <f t="shared" si="11"/>
        <v>0</v>
      </c>
      <c r="N34" s="37">
        <f t="shared" si="11"/>
        <v>0</v>
      </c>
      <c r="O34" s="37">
        <f t="shared" si="11"/>
        <v>0</v>
      </c>
      <c r="P34" s="37">
        <f t="shared" si="11"/>
        <v>0</v>
      </c>
      <c r="Q34" s="37">
        <f t="shared" si="11"/>
        <v>0</v>
      </c>
      <c r="R34" s="37">
        <f t="shared" si="11"/>
        <v>0</v>
      </c>
      <c r="S34" s="37">
        <f t="shared" si="11"/>
        <v>0</v>
      </c>
      <c r="T34" s="37">
        <f t="shared" si="11"/>
        <v>0</v>
      </c>
      <c r="U34" s="37">
        <f t="shared" si="11"/>
        <v>0</v>
      </c>
      <c r="V34" s="37">
        <f t="shared" si="11"/>
        <v>0</v>
      </c>
      <c r="W34" s="37">
        <f t="shared" si="11"/>
        <v>0</v>
      </c>
      <c r="X34" s="37">
        <f t="shared" si="11"/>
        <v>0</v>
      </c>
      <c r="Y34" s="37">
        <f t="shared" si="11"/>
        <v>0</v>
      </c>
      <c r="Z34" s="37">
        <f t="shared" si="11"/>
        <v>0</v>
      </c>
      <c r="AA34" s="37">
        <f t="shared" si="11"/>
        <v>0</v>
      </c>
      <c r="AB34" s="37">
        <f t="shared" si="11"/>
        <v>0</v>
      </c>
      <c r="AC34" s="37">
        <f t="shared" si="11"/>
        <v>0</v>
      </c>
      <c r="AD34" s="37">
        <f t="shared" si="11"/>
        <v>0</v>
      </c>
      <c r="AE34" s="37">
        <f t="shared" si="11"/>
        <v>0</v>
      </c>
      <c r="AF34" s="37">
        <f>SUM(E34:AE34)</f>
        <v>0</v>
      </c>
    </row>
    <row r="38" spans="4:32">
      <c r="E38" s="36" t="s">
        <v>40</v>
      </c>
      <c r="F38" s="36" t="s">
        <v>42</v>
      </c>
      <c r="G38" s="36" t="s">
        <v>46</v>
      </c>
      <c r="H38" s="36" t="s">
        <v>50</v>
      </c>
      <c r="I38" s="36" t="s">
        <v>52</v>
      </c>
      <c r="J38" s="36" t="s">
        <v>55</v>
      </c>
      <c r="K38" s="36" t="s">
        <v>59</v>
      </c>
      <c r="L38" s="36" t="s">
        <v>62</v>
      </c>
      <c r="M38" s="36" t="s">
        <v>64</v>
      </c>
      <c r="N38" s="36" t="s">
        <v>65</v>
      </c>
      <c r="O38" s="36" t="s">
        <v>66</v>
      </c>
      <c r="P38" s="36" t="s">
        <v>67</v>
      </c>
      <c r="Q38" s="36" t="s">
        <v>68</v>
      </c>
      <c r="R38" s="36" t="s">
        <v>43</v>
      </c>
      <c r="S38" s="36" t="s">
        <v>34</v>
      </c>
      <c r="T38" s="36" t="s">
        <v>70</v>
      </c>
      <c r="U38" s="36" t="s">
        <v>72</v>
      </c>
      <c r="V38" s="36" t="s">
        <v>73</v>
      </c>
      <c r="W38" s="36" t="s">
        <v>74</v>
      </c>
      <c r="X38" s="36" t="s">
        <v>71</v>
      </c>
      <c r="Y38" s="36" t="s">
        <v>56</v>
      </c>
      <c r="Z38" s="36" t="s">
        <v>69</v>
      </c>
      <c r="AA38" s="36" t="s">
        <v>75</v>
      </c>
      <c r="AB38" s="36" t="s">
        <v>76</v>
      </c>
      <c r="AC38" s="36" t="s">
        <v>77</v>
      </c>
      <c r="AD38" s="36" t="s">
        <v>78</v>
      </c>
      <c r="AE38" s="36" t="s">
        <v>79</v>
      </c>
    </row>
    <row r="39" spans="4:32">
      <c r="D39" s="35">
        <f>D22</f>
        <v>45658</v>
      </c>
      <c r="E39" s="32">
        <f t="shared" ref="E39:N50" si="12">SUMIF(AT1_intervalo_criterio,TEXT($D39,"MMAAAA")&amp;"consumidor"&amp;E$4,AU1_soma_criterio)</f>
        <v>0</v>
      </c>
      <c r="F39" s="32">
        <f t="shared" si="12"/>
        <v>0</v>
      </c>
      <c r="G39" s="32">
        <f t="shared" si="12"/>
        <v>0</v>
      </c>
      <c r="H39" s="32">
        <f t="shared" si="12"/>
        <v>0</v>
      </c>
      <c r="I39" s="32">
        <f t="shared" si="12"/>
        <v>0</v>
      </c>
      <c r="J39" s="32">
        <f t="shared" si="12"/>
        <v>0</v>
      </c>
      <c r="K39" s="32">
        <f t="shared" si="12"/>
        <v>0</v>
      </c>
      <c r="L39" s="32">
        <f t="shared" si="12"/>
        <v>0</v>
      </c>
      <c r="M39" s="32">
        <f t="shared" si="12"/>
        <v>0</v>
      </c>
      <c r="N39" s="32">
        <f t="shared" si="12"/>
        <v>0</v>
      </c>
      <c r="O39" s="32">
        <f t="shared" ref="O39:X50" si="13">SUMIF(AT1_intervalo_criterio,TEXT($D39,"MMAAAA")&amp;"consumidor"&amp;O$4,AU1_soma_criterio)</f>
        <v>0</v>
      </c>
      <c r="P39" s="32">
        <f t="shared" si="13"/>
        <v>0</v>
      </c>
      <c r="Q39" s="32">
        <f t="shared" si="13"/>
        <v>0</v>
      </c>
      <c r="R39" s="32">
        <f t="shared" si="13"/>
        <v>0</v>
      </c>
      <c r="S39" s="32">
        <f t="shared" si="13"/>
        <v>0</v>
      </c>
      <c r="T39" s="32">
        <f t="shared" si="13"/>
        <v>0</v>
      </c>
      <c r="U39" s="32">
        <f t="shared" si="13"/>
        <v>0</v>
      </c>
      <c r="V39" s="32">
        <f t="shared" si="13"/>
        <v>0</v>
      </c>
      <c r="W39" s="32">
        <f t="shared" si="13"/>
        <v>0</v>
      </c>
      <c r="X39" s="32">
        <f t="shared" si="13"/>
        <v>0</v>
      </c>
      <c r="Y39" s="32">
        <f t="shared" ref="Y39:AE50" si="14">SUMIF(AT1_intervalo_criterio,TEXT($D39,"MMAAAA")&amp;"consumidor"&amp;Y$4,AU1_soma_criterio)</f>
        <v>0</v>
      </c>
      <c r="Z39" s="32">
        <f t="shared" si="14"/>
        <v>0</v>
      </c>
      <c r="AA39" s="32">
        <f t="shared" si="14"/>
        <v>0</v>
      </c>
      <c r="AB39" s="32">
        <f t="shared" si="14"/>
        <v>0</v>
      </c>
      <c r="AC39" s="32">
        <f t="shared" si="14"/>
        <v>0</v>
      </c>
      <c r="AD39" s="32">
        <f t="shared" si="14"/>
        <v>0</v>
      </c>
      <c r="AE39" s="32">
        <f t="shared" si="14"/>
        <v>0</v>
      </c>
    </row>
    <row r="40" spans="4:32">
      <c r="D40" s="35">
        <f t="shared" ref="D40:D50" si="15">D23</f>
        <v>45689</v>
      </c>
      <c r="E40" s="32">
        <f t="shared" si="12"/>
        <v>0</v>
      </c>
      <c r="F40" s="32">
        <f t="shared" si="12"/>
        <v>0</v>
      </c>
      <c r="G40" s="32">
        <f t="shared" si="12"/>
        <v>0</v>
      </c>
      <c r="H40" s="32">
        <f t="shared" si="12"/>
        <v>0</v>
      </c>
      <c r="I40" s="32">
        <f t="shared" si="12"/>
        <v>0</v>
      </c>
      <c r="J40" s="32">
        <f t="shared" si="12"/>
        <v>0</v>
      </c>
      <c r="K40" s="32">
        <f t="shared" si="12"/>
        <v>0</v>
      </c>
      <c r="L40" s="32">
        <f t="shared" si="12"/>
        <v>0</v>
      </c>
      <c r="M40" s="32">
        <f t="shared" si="12"/>
        <v>0</v>
      </c>
      <c r="N40" s="32">
        <f t="shared" si="12"/>
        <v>0</v>
      </c>
      <c r="O40" s="32">
        <f t="shared" si="13"/>
        <v>0</v>
      </c>
      <c r="P40" s="32">
        <f t="shared" si="13"/>
        <v>0</v>
      </c>
      <c r="Q40" s="32">
        <f t="shared" si="13"/>
        <v>0</v>
      </c>
      <c r="R40" s="32">
        <f t="shared" si="13"/>
        <v>0</v>
      </c>
      <c r="S40" s="32">
        <f t="shared" si="13"/>
        <v>0</v>
      </c>
      <c r="T40" s="32">
        <f t="shared" si="13"/>
        <v>0</v>
      </c>
      <c r="U40" s="32">
        <f t="shared" si="13"/>
        <v>0</v>
      </c>
      <c r="V40" s="32">
        <f t="shared" si="13"/>
        <v>0</v>
      </c>
      <c r="W40" s="32">
        <f t="shared" si="13"/>
        <v>0</v>
      </c>
      <c r="X40" s="32">
        <f t="shared" si="13"/>
        <v>0</v>
      </c>
      <c r="Y40" s="32">
        <f t="shared" si="14"/>
        <v>0</v>
      </c>
      <c r="Z40" s="32">
        <f t="shared" si="14"/>
        <v>0</v>
      </c>
      <c r="AA40" s="32">
        <f t="shared" si="14"/>
        <v>0</v>
      </c>
      <c r="AB40" s="32">
        <f t="shared" si="14"/>
        <v>0</v>
      </c>
      <c r="AC40" s="32">
        <f t="shared" si="14"/>
        <v>0</v>
      </c>
      <c r="AD40" s="32">
        <f t="shared" si="14"/>
        <v>0</v>
      </c>
      <c r="AE40" s="32">
        <f t="shared" si="14"/>
        <v>0</v>
      </c>
    </row>
    <row r="41" spans="4:32">
      <c r="D41" s="35">
        <f t="shared" si="15"/>
        <v>45717</v>
      </c>
      <c r="E41" s="32">
        <f t="shared" si="12"/>
        <v>0</v>
      </c>
      <c r="F41" s="32">
        <f t="shared" si="12"/>
        <v>0</v>
      </c>
      <c r="G41" s="32">
        <f t="shared" si="12"/>
        <v>0</v>
      </c>
      <c r="H41" s="32">
        <f t="shared" si="12"/>
        <v>0</v>
      </c>
      <c r="I41" s="32">
        <f t="shared" si="12"/>
        <v>0</v>
      </c>
      <c r="J41" s="32">
        <f t="shared" si="12"/>
        <v>0</v>
      </c>
      <c r="K41" s="32">
        <f t="shared" si="12"/>
        <v>0</v>
      </c>
      <c r="L41" s="32">
        <f t="shared" si="12"/>
        <v>0</v>
      </c>
      <c r="M41" s="32">
        <f t="shared" si="12"/>
        <v>0</v>
      </c>
      <c r="N41" s="32">
        <f t="shared" si="12"/>
        <v>0</v>
      </c>
      <c r="O41" s="32">
        <f t="shared" si="13"/>
        <v>0</v>
      </c>
      <c r="P41" s="32">
        <f t="shared" si="13"/>
        <v>0</v>
      </c>
      <c r="Q41" s="32">
        <f t="shared" si="13"/>
        <v>0</v>
      </c>
      <c r="R41" s="32">
        <f t="shared" si="13"/>
        <v>0</v>
      </c>
      <c r="S41" s="32">
        <f t="shared" si="13"/>
        <v>0</v>
      </c>
      <c r="T41" s="32">
        <f t="shared" si="13"/>
        <v>0</v>
      </c>
      <c r="U41" s="32">
        <f t="shared" si="13"/>
        <v>0</v>
      </c>
      <c r="V41" s="32">
        <f t="shared" si="13"/>
        <v>0</v>
      </c>
      <c r="W41" s="32">
        <f t="shared" si="13"/>
        <v>0</v>
      </c>
      <c r="X41" s="32">
        <f t="shared" si="13"/>
        <v>0</v>
      </c>
      <c r="Y41" s="32">
        <f t="shared" si="14"/>
        <v>0</v>
      </c>
      <c r="Z41" s="32">
        <f t="shared" si="14"/>
        <v>0</v>
      </c>
      <c r="AA41" s="32">
        <f t="shared" si="14"/>
        <v>0</v>
      </c>
      <c r="AB41" s="32">
        <f t="shared" si="14"/>
        <v>0</v>
      </c>
      <c r="AC41" s="32">
        <f t="shared" si="14"/>
        <v>0</v>
      </c>
      <c r="AD41" s="32">
        <f t="shared" si="14"/>
        <v>0</v>
      </c>
      <c r="AE41" s="32">
        <f t="shared" si="14"/>
        <v>0</v>
      </c>
    </row>
    <row r="42" spans="4:32">
      <c r="D42" s="35">
        <f t="shared" si="15"/>
        <v>45748</v>
      </c>
      <c r="E42" s="32">
        <f t="shared" si="12"/>
        <v>0</v>
      </c>
      <c r="F42" s="32">
        <f t="shared" si="12"/>
        <v>0</v>
      </c>
      <c r="G42" s="32">
        <f t="shared" si="12"/>
        <v>0</v>
      </c>
      <c r="H42" s="32">
        <f t="shared" si="12"/>
        <v>0</v>
      </c>
      <c r="I42" s="32">
        <f t="shared" si="12"/>
        <v>0</v>
      </c>
      <c r="J42" s="32">
        <f t="shared" si="12"/>
        <v>0</v>
      </c>
      <c r="K42" s="32">
        <f t="shared" si="12"/>
        <v>0</v>
      </c>
      <c r="L42" s="32">
        <f t="shared" si="12"/>
        <v>0</v>
      </c>
      <c r="M42" s="32">
        <f t="shared" si="12"/>
        <v>0</v>
      </c>
      <c r="N42" s="32">
        <f t="shared" si="12"/>
        <v>0</v>
      </c>
      <c r="O42" s="32">
        <f t="shared" si="13"/>
        <v>0</v>
      </c>
      <c r="P42" s="32">
        <f t="shared" si="13"/>
        <v>0</v>
      </c>
      <c r="Q42" s="32">
        <f t="shared" si="13"/>
        <v>0</v>
      </c>
      <c r="R42" s="32">
        <f t="shared" si="13"/>
        <v>0</v>
      </c>
      <c r="S42" s="32">
        <f t="shared" si="13"/>
        <v>0</v>
      </c>
      <c r="T42" s="32">
        <f t="shared" si="13"/>
        <v>0</v>
      </c>
      <c r="U42" s="32">
        <f t="shared" si="13"/>
        <v>0</v>
      </c>
      <c r="V42" s="32">
        <f t="shared" si="13"/>
        <v>0</v>
      </c>
      <c r="W42" s="32">
        <f t="shared" si="13"/>
        <v>0</v>
      </c>
      <c r="X42" s="32">
        <f t="shared" si="13"/>
        <v>0</v>
      </c>
      <c r="Y42" s="32">
        <f t="shared" si="14"/>
        <v>0</v>
      </c>
      <c r="Z42" s="32">
        <f t="shared" si="14"/>
        <v>0</v>
      </c>
      <c r="AA42" s="32">
        <f t="shared" si="14"/>
        <v>0</v>
      </c>
      <c r="AB42" s="32">
        <f t="shared" si="14"/>
        <v>0</v>
      </c>
      <c r="AC42" s="32">
        <f t="shared" si="14"/>
        <v>0</v>
      </c>
      <c r="AD42" s="32">
        <f t="shared" si="14"/>
        <v>0</v>
      </c>
      <c r="AE42" s="32">
        <f t="shared" si="14"/>
        <v>0</v>
      </c>
    </row>
    <row r="43" spans="4:32">
      <c r="D43" s="35">
        <f t="shared" si="15"/>
        <v>45778</v>
      </c>
      <c r="E43" s="32">
        <f t="shared" si="12"/>
        <v>0</v>
      </c>
      <c r="F43" s="32">
        <f t="shared" si="12"/>
        <v>0</v>
      </c>
      <c r="G43" s="32">
        <f t="shared" si="12"/>
        <v>0</v>
      </c>
      <c r="H43" s="32">
        <f t="shared" si="12"/>
        <v>0</v>
      </c>
      <c r="I43" s="32">
        <f t="shared" si="12"/>
        <v>0</v>
      </c>
      <c r="J43" s="32">
        <f t="shared" si="12"/>
        <v>0</v>
      </c>
      <c r="K43" s="32">
        <f t="shared" si="12"/>
        <v>0</v>
      </c>
      <c r="L43" s="32">
        <f t="shared" si="12"/>
        <v>0</v>
      </c>
      <c r="M43" s="32">
        <f t="shared" si="12"/>
        <v>0</v>
      </c>
      <c r="N43" s="32">
        <f t="shared" si="12"/>
        <v>0</v>
      </c>
      <c r="O43" s="32">
        <f t="shared" si="13"/>
        <v>0</v>
      </c>
      <c r="P43" s="32">
        <f t="shared" si="13"/>
        <v>0</v>
      </c>
      <c r="Q43" s="32">
        <f t="shared" si="13"/>
        <v>0</v>
      </c>
      <c r="R43" s="32">
        <f t="shared" si="13"/>
        <v>0</v>
      </c>
      <c r="S43" s="32">
        <f t="shared" si="13"/>
        <v>0</v>
      </c>
      <c r="T43" s="32">
        <f t="shared" si="13"/>
        <v>0</v>
      </c>
      <c r="U43" s="32">
        <f t="shared" si="13"/>
        <v>0</v>
      </c>
      <c r="V43" s="32">
        <f t="shared" si="13"/>
        <v>0</v>
      </c>
      <c r="W43" s="32">
        <f t="shared" si="13"/>
        <v>0</v>
      </c>
      <c r="X43" s="32">
        <f t="shared" si="13"/>
        <v>0</v>
      </c>
      <c r="Y43" s="32">
        <f t="shared" si="14"/>
        <v>0</v>
      </c>
      <c r="Z43" s="32">
        <f t="shared" si="14"/>
        <v>0</v>
      </c>
      <c r="AA43" s="32">
        <f t="shared" si="14"/>
        <v>0</v>
      </c>
      <c r="AB43" s="32">
        <f t="shared" si="14"/>
        <v>0</v>
      </c>
      <c r="AC43" s="32">
        <f t="shared" si="14"/>
        <v>0</v>
      </c>
      <c r="AD43" s="32">
        <f t="shared" si="14"/>
        <v>0</v>
      </c>
      <c r="AE43" s="32">
        <f t="shared" si="14"/>
        <v>0</v>
      </c>
    </row>
    <row r="44" spans="4:32">
      <c r="D44" s="35">
        <f t="shared" si="15"/>
        <v>45809</v>
      </c>
      <c r="E44" s="32">
        <f t="shared" si="12"/>
        <v>0</v>
      </c>
      <c r="F44" s="32">
        <f t="shared" si="12"/>
        <v>0</v>
      </c>
      <c r="G44" s="32">
        <f t="shared" si="12"/>
        <v>0</v>
      </c>
      <c r="H44" s="32">
        <f t="shared" si="12"/>
        <v>0</v>
      </c>
      <c r="I44" s="32">
        <f t="shared" si="12"/>
        <v>0</v>
      </c>
      <c r="J44" s="32">
        <f t="shared" si="12"/>
        <v>0</v>
      </c>
      <c r="K44" s="32">
        <f t="shared" si="12"/>
        <v>0</v>
      </c>
      <c r="L44" s="32">
        <f t="shared" si="12"/>
        <v>0</v>
      </c>
      <c r="M44" s="32">
        <f t="shared" si="12"/>
        <v>0</v>
      </c>
      <c r="N44" s="32">
        <f t="shared" si="12"/>
        <v>0</v>
      </c>
      <c r="O44" s="32">
        <f t="shared" si="13"/>
        <v>0</v>
      </c>
      <c r="P44" s="32">
        <f t="shared" si="13"/>
        <v>0</v>
      </c>
      <c r="Q44" s="32">
        <f t="shared" si="13"/>
        <v>0</v>
      </c>
      <c r="R44" s="32">
        <f t="shared" si="13"/>
        <v>0</v>
      </c>
      <c r="S44" s="32">
        <f t="shared" si="13"/>
        <v>0</v>
      </c>
      <c r="T44" s="32">
        <f t="shared" si="13"/>
        <v>0</v>
      </c>
      <c r="U44" s="32">
        <f t="shared" si="13"/>
        <v>0</v>
      </c>
      <c r="V44" s="32">
        <f t="shared" si="13"/>
        <v>0</v>
      </c>
      <c r="W44" s="32">
        <f t="shared" si="13"/>
        <v>0</v>
      </c>
      <c r="X44" s="32">
        <f t="shared" si="13"/>
        <v>0</v>
      </c>
      <c r="Y44" s="32">
        <f t="shared" si="14"/>
        <v>0</v>
      </c>
      <c r="Z44" s="32">
        <f t="shared" si="14"/>
        <v>0</v>
      </c>
      <c r="AA44" s="32">
        <f t="shared" si="14"/>
        <v>0</v>
      </c>
      <c r="AB44" s="32">
        <f t="shared" si="14"/>
        <v>0</v>
      </c>
      <c r="AC44" s="32">
        <f t="shared" si="14"/>
        <v>0</v>
      </c>
      <c r="AD44" s="32">
        <f t="shared" si="14"/>
        <v>0</v>
      </c>
      <c r="AE44" s="32">
        <f t="shared" si="14"/>
        <v>0</v>
      </c>
    </row>
    <row r="45" spans="4:32">
      <c r="D45" s="35">
        <f t="shared" si="15"/>
        <v>45839</v>
      </c>
      <c r="E45" s="32">
        <f t="shared" si="12"/>
        <v>0</v>
      </c>
      <c r="F45" s="32">
        <f t="shared" si="12"/>
        <v>0</v>
      </c>
      <c r="G45" s="32">
        <f t="shared" si="12"/>
        <v>0</v>
      </c>
      <c r="H45" s="32">
        <f t="shared" si="12"/>
        <v>0</v>
      </c>
      <c r="I45" s="32">
        <f t="shared" si="12"/>
        <v>0</v>
      </c>
      <c r="J45" s="32">
        <f t="shared" si="12"/>
        <v>0</v>
      </c>
      <c r="K45" s="32">
        <f t="shared" si="12"/>
        <v>0</v>
      </c>
      <c r="L45" s="32">
        <f t="shared" si="12"/>
        <v>0</v>
      </c>
      <c r="M45" s="32">
        <f t="shared" si="12"/>
        <v>0</v>
      </c>
      <c r="N45" s="32">
        <f t="shared" si="12"/>
        <v>0</v>
      </c>
      <c r="O45" s="32">
        <f t="shared" si="13"/>
        <v>0</v>
      </c>
      <c r="P45" s="32">
        <f t="shared" si="13"/>
        <v>0</v>
      </c>
      <c r="Q45" s="32">
        <f t="shared" si="13"/>
        <v>0</v>
      </c>
      <c r="R45" s="32">
        <f t="shared" si="13"/>
        <v>0</v>
      </c>
      <c r="S45" s="32">
        <f t="shared" si="13"/>
        <v>0</v>
      </c>
      <c r="T45" s="32">
        <f t="shared" si="13"/>
        <v>0</v>
      </c>
      <c r="U45" s="32">
        <f t="shared" si="13"/>
        <v>0</v>
      </c>
      <c r="V45" s="32">
        <f t="shared" si="13"/>
        <v>0</v>
      </c>
      <c r="W45" s="32">
        <f t="shared" si="13"/>
        <v>0</v>
      </c>
      <c r="X45" s="32">
        <f t="shared" si="13"/>
        <v>0</v>
      </c>
      <c r="Y45" s="32">
        <f t="shared" si="14"/>
        <v>0</v>
      </c>
      <c r="Z45" s="32">
        <f t="shared" si="14"/>
        <v>0</v>
      </c>
      <c r="AA45" s="32">
        <f t="shared" si="14"/>
        <v>0</v>
      </c>
      <c r="AB45" s="32">
        <f t="shared" si="14"/>
        <v>0</v>
      </c>
      <c r="AC45" s="32">
        <f t="shared" si="14"/>
        <v>0</v>
      </c>
      <c r="AD45" s="32">
        <f t="shared" si="14"/>
        <v>0</v>
      </c>
      <c r="AE45" s="32">
        <f t="shared" si="14"/>
        <v>0</v>
      </c>
    </row>
    <row r="46" spans="4:32">
      <c r="D46" s="35">
        <f t="shared" si="15"/>
        <v>45870</v>
      </c>
      <c r="E46" s="32">
        <f t="shared" si="12"/>
        <v>0</v>
      </c>
      <c r="F46" s="32">
        <f t="shared" si="12"/>
        <v>0</v>
      </c>
      <c r="G46" s="32">
        <f t="shared" si="12"/>
        <v>0</v>
      </c>
      <c r="H46" s="32">
        <f t="shared" si="12"/>
        <v>0</v>
      </c>
      <c r="I46" s="32">
        <f t="shared" si="12"/>
        <v>0</v>
      </c>
      <c r="J46" s="32">
        <f t="shared" si="12"/>
        <v>0</v>
      </c>
      <c r="K46" s="32">
        <f t="shared" si="12"/>
        <v>0</v>
      </c>
      <c r="L46" s="32">
        <f t="shared" si="12"/>
        <v>0</v>
      </c>
      <c r="M46" s="32">
        <f t="shared" si="12"/>
        <v>0</v>
      </c>
      <c r="N46" s="32">
        <f t="shared" si="12"/>
        <v>0</v>
      </c>
      <c r="O46" s="32">
        <f t="shared" si="13"/>
        <v>0</v>
      </c>
      <c r="P46" s="32">
        <f t="shared" si="13"/>
        <v>0</v>
      </c>
      <c r="Q46" s="32">
        <f t="shared" si="13"/>
        <v>0</v>
      </c>
      <c r="R46" s="32">
        <f t="shared" si="13"/>
        <v>0</v>
      </c>
      <c r="S46" s="32">
        <f t="shared" si="13"/>
        <v>0</v>
      </c>
      <c r="T46" s="32">
        <f t="shared" si="13"/>
        <v>0</v>
      </c>
      <c r="U46" s="32">
        <f t="shared" si="13"/>
        <v>0</v>
      </c>
      <c r="V46" s="32">
        <f t="shared" si="13"/>
        <v>0</v>
      </c>
      <c r="W46" s="32">
        <f t="shared" si="13"/>
        <v>0</v>
      </c>
      <c r="X46" s="32">
        <f t="shared" si="13"/>
        <v>0</v>
      </c>
      <c r="Y46" s="32">
        <f t="shared" si="14"/>
        <v>0</v>
      </c>
      <c r="Z46" s="32">
        <f t="shared" si="14"/>
        <v>0</v>
      </c>
      <c r="AA46" s="32">
        <f t="shared" si="14"/>
        <v>0</v>
      </c>
      <c r="AB46" s="32">
        <f t="shared" si="14"/>
        <v>0</v>
      </c>
      <c r="AC46" s="32">
        <f t="shared" si="14"/>
        <v>0</v>
      </c>
      <c r="AD46" s="32">
        <f t="shared" si="14"/>
        <v>0</v>
      </c>
      <c r="AE46" s="32">
        <f t="shared" si="14"/>
        <v>0</v>
      </c>
    </row>
    <row r="47" spans="4:32">
      <c r="D47" s="35">
        <f t="shared" si="15"/>
        <v>45901</v>
      </c>
      <c r="E47" s="32">
        <f t="shared" si="12"/>
        <v>0</v>
      </c>
      <c r="F47" s="32">
        <f t="shared" si="12"/>
        <v>0</v>
      </c>
      <c r="G47" s="32">
        <f t="shared" si="12"/>
        <v>0</v>
      </c>
      <c r="H47" s="32">
        <f t="shared" si="12"/>
        <v>0</v>
      </c>
      <c r="I47" s="32">
        <f t="shared" si="12"/>
        <v>0</v>
      </c>
      <c r="J47" s="32">
        <f t="shared" si="12"/>
        <v>0</v>
      </c>
      <c r="K47" s="32">
        <f t="shared" si="12"/>
        <v>0</v>
      </c>
      <c r="L47" s="32">
        <f t="shared" si="12"/>
        <v>0</v>
      </c>
      <c r="M47" s="32">
        <f t="shared" si="12"/>
        <v>0</v>
      </c>
      <c r="N47" s="32">
        <f t="shared" si="12"/>
        <v>0</v>
      </c>
      <c r="O47" s="32">
        <f t="shared" si="13"/>
        <v>0</v>
      </c>
      <c r="P47" s="32">
        <f t="shared" si="13"/>
        <v>0</v>
      </c>
      <c r="Q47" s="32">
        <f t="shared" si="13"/>
        <v>0</v>
      </c>
      <c r="R47" s="32">
        <f t="shared" si="13"/>
        <v>0</v>
      </c>
      <c r="S47" s="32">
        <f t="shared" si="13"/>
        <v>0</v>
      </c>
      <c r="T47" s="32">
        <f t="shared" si="13"/>
        <v>0</v>
      </c>
      <c r="U47" s="32">
        <f t="shared" si="13"/>
        <v>0</v>
      </c>
      <c r="V47" s="32">
        <f t="shared" si="13"/>
        <v>0</v>
      </c>
      <c r="W47" s="32">
        <f t="shared" si="13"/>
        <v>0</v>
      </c>
      <c r="X47" s="32">
        <f t="shared" si="13"/>
        <v>0</v>
      </c>
      <c r="Y47" s="32">
        <f t="shared" si="14"/>
        <v>0</v>
      </c>
      <c r="Z47" s="32">
        <f t="shared" si="14"/>
        <v>0</v>
      </c>
      <c r="AA47" s="32">
        <f t="shared" si="14"/>
        <v>0</v>
      </c>
      <c r="AB47" s="32">
        <f t="shared" si="14"/>
        <v>0</v>
      </c>
      <c r="AC47" s="32">
        <f t="shared" si="14"/>
        <v>0</v>
      </c>
      <c r="AD47" s="32">
        <f t="shared" si="14"/>
        <v>0</v>
      </c>
      <c r="AE47" s="32">
        <f t="shared" si="14"/>
        <v>0</v>
      </c>
    </row>
    <row r="48" spans="4:32">
      <c r="D48" s="35">
        <f t="shared" si="15"/>
        <v>45931</v>
      </c>
      <c r="E48" s="32">
        <f t="shared" si="12"/>
        <v>0</v>
      </c>
      <c r="F48" s="32">
        <f t="shared" si="12"/>
        <v>0</v>
      </c>
      <c r="G48" s="32">
        <f t="shared" si="12"/>
        <v>0</v>
      </c>
      <c r="H48" s="32">
        <f t="shared" si="12"/>
        <v>0</v>
      </c>
      <c r="I48" s="32">
        <f t="shared" si="12"/>
        <v>0</v>
      </c>
      <c r="J48" s="32">
        <f t="shared" si="12"/>
        <v>0</v>
      </c>
      <c r="K48" s="32">
        <f t="shared" si="12"/>
        <v>0</v>
      </c>
      <c r="L48" s="32">
        <f t="shared" si="12"/>
        <v>0</v>
      </c>
      <c r="M48" s="32">
        <f t="shared" si="12"/>
        <v>0</v>
      </c>
      <c r="N48" s="32">
        <f t="shared" si="12"/>
        <v>0</v>
      </c>
      <c r="O48" s="32">
        <f t="shared" si="13"/>
        <v>0</v>
      </c>
      <c r="P48" s="32">
        <f t="shared" si="13"/>
        <v>0</v>
      </c>
      <c r="Q48" s="32">
        <f t="shared" si="13"/>
        <v>0</v>
      </c>
      <c r="R48" s="32">
        <f t="shared" si="13"/>
        <v>0</v>
      </c>
      <c r="S48" s="32">
        <f t="shared" si="13"/>
        <v>0</v>
      </c>
      <c r="T48" s="32">
        <f t="shared" si="13"/>
        <v>0</v>
      </c>
      <c r="U48" s="32">
        <f t="shared" si="13"/>
        <v>0</v>
      </c>
      <c r="V48" s="32">
        <f t="shared" si="13"/>
        <v>0</v>
      </c>
      <c r="W48" s="32">
        <f t="shared" si="13"/>
        <v>0</v>
      </c>
      <c r="X48" s="32">
        <f t="shared" si="13"/>
        <v>0</v>
      </c>
      <c r="Y48" s="32">
        <f t="shared" si="14"/>
        <v>0</v>
      </c>
      <c r="Z48" s="32">
        <f t="shared" si="14"/>
        <v>0</v>
      </c>
      <c r="AA48" s="32">
        <f t="shared" si="14"/>
        <v>0</v>
      </c>
      <c r="AB48" s="32">
        <f t="shared" si="14"/>
        <v>0</v>
      </c>
      <c r="AC48" s="32">
        <f t="shared" si="14"/>
        <v>0</v>
      </c>
      <c r="AD48" s="32">
        <f t="shared" si="14"/>
        <v>0</v>
      </c>
      <c r="AE48" s="32">
        <f t="shared" si="14"/>
        <v>0</v>
      </c>
    </row>
    <row r="49" spans="4:32">
      <c r="D49" s="35">
        <f t="shared" si="15"/>
        <v>45962</v>
      </c>
      <c r="E49" s="32">
        <f t="shared" si="12"/>
        <v>0</v>
      </c>
      <c r="F49" s="32">
        <f t="shared" si="12"/>
        <v>0</v>
      </c>
      <c r="G49" s="32">
        <f t="shared" si="12"/>
        <v>0</v>
      </c>
      <c r="H49" s="32">
        <f t="shared" si="12"/>
        <v>0</v>
      </c>
      <c r="I49" s="32">
        <f t="shared" si="12"/>
        <v>0</v>
      </c>
      <c r="J49" s="32">
        <f t="shared" si="12"/>
        <v>0</v>
      </c>
      <c r="K49" s="32">
        <f t="shared" si="12"/>
        <v>0</v>
      </c>
      <c r="L49" s="32">
        <f t="shared" si="12"/>
        <v>0</v>
      </c>
      <c r="M49" s="32">
        <f t="shared" si="12"/>
        <v>0</v>
      </c>
      <c r="N49" s="32">
        <f t="shared" si="12"/>
        <v>0</v>
      </c>
      <c r="O49" s="32">
        <f t="shared" si="13"/>
        <v>0</v>
      </c>
      <c r="P49" s="32">
        <f t="shared" si="13"/>
        <v>0</v>
      </c>
      <c r="Q49" s="32">
        <f t="shared" si="13"/>
        <v>0</v>
      </c>
      <c r="R49" s="32">
        <f t="shared" si="13"/>
        <v>0</v>
      </c>
      <c r="S49" s="32">
        <f t="shared" si="13"/>
        <v>0</v>
      </c>
      <c r="T49" s="32">
        <f t="shared" si="13"/>
        <v>0</v>
      </c>
      <c r="U49" s="32">
        <f t="shared" si="13"/>
        <v>0</v>
      </c>
      <c r="V49" s="32">
        <f t="shared" si="13"/>
        <v>0</v>
      </c>
      <c r="W49" s="32">
        <f t="shared" si="13"/>
        <v>0</v>
      </c>
      <c r="X49" s="32">
        <f t="shared" si="13"/>
        <v>0</v>
      </c>
      <c r="Y49" s="32">
        <f t="shared" si="14"/>
        <v>0</v>
      </c>
      <c r="Z49" s="32">
        <f t="shared" si="14"/>
        <v>0</v>
      </c>
      <c r="AA49" s="32">
        <f t="shared" si="14"/>
        <v>0</v>
      </c>
      <c r="AB49" s="32">
        <f t="shared" si="14"/>
        <v>0</v>
      </c>
      <c r="AC49" s="32">
        <f t="shared" si="14"/>
        <v>0</v>
      </c>
      <c r="AD49" s="32">
        <f t="shared" si="14"/>
        <v>0</v>
      </c>
      <c r="AE49" s="32">
        <f t="shared" si="14"/>
        <v>0</v>
      </c>
    </row>
    <row r="50" spans="4:32">
      <c r="D50" s="35">
        <f t="shared" si="15"/>
        <v>45992</v>
      </c>
      <c r="E50" s="32">
        <f t="shared" si="12"/>
        <v>0</v>
      </c>
      <c r="F50" s="32">
        <f t="shared" si="12"/>
        <v>0</v>
      </c>
      <c r="G50" s="32">
        <f t="shared" si="12"/>
        <v>0</v>
      </c>
      <c r="H50" s="32">
        <f t="shared" si="12"/>
        <v>0</v>
      </c>
      <c r="I50" s="32">
        <f t="shared" si="12"/>
        <v>0</v>
      </c>
      <c r="J50" s="32">
        <f t="shared" si="12"/>
        <v>0</v>
      </c>
      <c r="K50" s="32">
        <f t="shared" si="12"/>
        <v>0</v>
      </c>
      <c r="L50" s="32">
        <f t="shared" si="12"/>
        <v>0</v>
      </c>
      <c r="M50" s="32">
        <f t="shared" si="12"/>
        <v>0</v>
      </c>
      <c r="N50" s="32">
        <f t="shared" si="12"/>
        <v>0</v>
      </c>
      <c r="O50" s="32">
        <f t="shared" si="13"/>
        <v>0</v>
      </c>
      <c r="P50" s="32">
        <f t="shared" si="13"/>
        <v>0</v>
      </c>
      <c r="Q50" s="32">
        <f t="shared" si="13"/>
        <v>0</v>
      </c>
      <c r="R50" s="32">
        <f t="shared" si="13"/>
        <v>0</v>
      </c>
      <c r="S50" s="32">
        <f t="shared" si="13"/>
        <v>0</v>
      </c>
      <c r="T50" s="32">
        <f t="shared" si="13"/>
        <v>0</v>
      </c>
      <c r="U50" s="32">
        <f t="shared" si="13"/>
        <v>0</v>
      </c>
      <c r="V50" s="32">
        <f t="shared" si="13"/>
        <v>0</v>
      </c>
      <c r="W50" s="32">
        <f t="shared" si="13"/>
        <v>0</v>
      </c>
      <c r="X50" s="32">
        <f t="shared" si="13"/>
        <v>0</v>
      </c>
      <c r="Y50" s="32">
        <f t="shared" si="14"/>
        <v>0</v>
      </c>
      <c r="Z50" s="32">
        <f t="shared" si="14"/>
        <v>0</v>
      </c>
      <c r="AA50" s="32">
        <f t="shared" si="14"/>
        <v>0</v>
      </c>
      <c r="AB50" s="32">
        <f t="shared" si="14"/>
        <v>0</v>
      </c>
      <c r="AC50" s="32">
        <f t="shared" si="14"/>
        <v>0</v>
      </c>
      <c r="AD50" s="32">
        <f t="shared" si="14"/>
        <v>0</v>
      </c>
      <c r="AE50" s="32">
        <f t="shared" si="14"/>
        <v>0</v>
      </c>
    </row>
    <row r="51" spans="4:32">
      <c r="D51" s="35"/>
      <c r="E51" s="36">
        <f t="shared" ref="E51:AE51" si="16">SUM(E39:E50)</f>
        <v>0</v>
      </c>
      <c r="F51" s="36">
        <f t="shared" si="16"/>
        <v>0</v>
      </c>
      <c r="G51" s="36">
        <f t="shared" si="16"/>
        <v>0</v>
      </c>
      <c r="H51" s="36">
        <f t="shared" si="16"/>
        <v>0</v>
      </c>
      <c r="I51" s="36">
        <f t="shared" si="16"/>
        <v>0</v>
      </c>
      <c r="J51" s="36">
        <f t="shared" si="16"/>
        <v>0</v>
      </c>
      <c r="K51" s="36">
        <f t="shared" si="16"/>
        <v>0</v>
      </c>
      <c r="L51" s="36">
        <f t="shared" si="16"/>
        <v>0</v>
      </c>
      <c r="M51" s="36">
        <f t="shared" si="16"/>
        <v>0</v>
      </c>
      <c r="N51" s="36">
        <f t="shared" si="16"/>
        <v>0</v>
      </c>
      <c r="O51" s="36">
        <f t="shared" si="16"/>
        <v>0</v>
      </c>
      <c r="P51" s="36">
        <f t="shared" si="16"/>
        <v>0</v>
      </c>
      <c r="Q51" s="36">
        <f t="shared" si="16"/>
        <v>0</v>
      </c>
      <c r="R51" s="36">
        <f t="shared" si="16"/>
        <v>0</v>
      </c>
      <c r="S51" s="36">
        <f t="shared" si="16"/>
        <v>0</v>
      </c>
      <c r="T51" s="36">
        <f t="shared" si="16"/>
        <v>0</v>
      </c>
      <c r="U51" s="36">
        <f t="shared" si="16"/>
        <v>0</v>
      </c>
      <c r="V51" s="36">
        <f t="shared" si="16"/>
        <v>0</v>
      </c>
      <c r="W51" s="36">
        <f t="shared" si="16"/>
        <v>0</v>
      </c>
      <c r="X51" s="36">
        <f t="shared" si="16"/>
        <v>0</v>
      </c>
      <c r="Y51" s="36">
        <f t="shared" si="16"/>
        <v>0</v>
      </c>
      <c r="Z51" s="36">
        <f t="shared" si="16"/>
        <v>0</v>
      </c>
      <c r="AA51" s="36">
        <f t="shared" si="16"/>
        <v>0</v>
      </c>
      <c r="AB51" s="36">
        <f t="shared" si="16"/>
        <v>0</v>
      </c>
      <c r="AC51" s="36">
        <f t="shared" si="16"/>
        <v>0</v>
      </c>
      <c r="AD51" s="36">
        <f t="shared" si="16"/>
        <v>0</v>
      </c>
      <c r="AE51" s="36">
        <f t="shared" si="16"/>
        <v>0</v>
      </c>
      <c r="AF51" s="36">
        <f>SUM(E51:AE51)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5"/>
  <dimension ref="A3:BH36"/>
  <sheetViews>
    <sheetView workbookViewId="0">
      <selection activeCell="AO12" sqref="AO12"/>
    </sheetView>
  </sheetViews>
  <sheetFormatPr defaultRowHeight="15"/>
  <cols>
    <col min="1" max="1" width="18" bestFit="1" customWidth="1"/>
    <col min="2" max="2" width="19.7109375" bestFit="1" customWidth="1"/>
    <col min="3" max="3" width="21.5703125" bestFit="1" customWidth="1"/>
    <col min="4" max="4" width="15.85546875" bestFit="1" customWidth="1"/>
    <col min="5" max="5" width="20" bestFit="1" customWidth="1"/>
    <col min="6" max="6" width="14.28515625" bestFit="1" customWidth="1"/>
    <col min="7" max="7" width="17.42578125" bestFit="1" customWidth="1"/>
    <col min="8" max="8" width="13.42578125" bestFit="1" customWidth="1"/>
    <col min="9" max="9" width="18.42578125" bestFit="1" customWidth="1"/>
    <col min="10" max="10" width="22.5703125" bestFit="1" customWidth="1"/>
    <col min="11" max="11" width="21" bestFit="1" customWidth="1"/>
    <col min="12" max="12" width="15.7109375" bestFit="1" customWidth="1"/>
    <col min="13" max="13" width="20.85546875" bestFit="1" customWidth="1"/>
    <col min="14" max="14" width="15.42578125" bestFit="1" customWidth="1"/>
    <col min="15" max="15" width="14.28515625" bestFit="1" customWidth="1"/>
    <col min="16" max="16" width="23.28515625" bestFit="1" customWidth="1"/>
    <col min="17" max="17" width="21.140625" bestFit="1" customWidth="1"/>
    <col min="18" max="18" width="20" bestFit="1" customWidth="1"/>
    <col min="19" max="19" width="16" bestFit="1" customWidth="1"/>
    <col min="20" max="20" width="14.5703125" bestFit="1" customWidth="1"/>
    <col min="21" max="21" width="22" bestFit="1" customWidth="1"/>
    <col min="22" max="22" width="14.140625" bestFit="1" customWidth="1"/>
    <col min="23" max="23" width="22.42578125" bestFit="1" customWidth="1"/>
    <col min="24" max="24" width="17.28515625" bestFit="1" customWidth="1"/>
    <col min="25" max="25" width="20.7109375" bestFit="1" customWidth="1"/>
    <col min="26" max="27" width="18.7109375" bestFit="1" customWidth="1"/>
    <col min="28" max="28" width="14" bestFit="1" customWidth="1"/>
    <col min="32" max="32" width="15" customWidth="1"/>
  </cols>
  <sheetData>
    <row r="3" spans="1:28">
      <c r="A3" s="64" t="s">
        <v>85</v>
      </c>
      <c r="B3" t="s">
        <v>112</v>
      </c>
      <c r="C3" t="s">
        <v>113</v>
      </c>
      <c r="D3" t="s">
        <v>114</v>
      </c>
      <c r="E3" t="s">
        <v>115</v>
      </c>
      <c r="F3" t="s">
        <v>116</v>
      </c>
      <c r="G3" t="s">
        <v>117</v>
      </c>
      <c r="H3" t="s">
        <v>118</v>
      </c>
      <c r="I3" t="s">
        <v>119</v>
      </c>
      <c r="J3" t="s">
        <v>120</v>
      </c>
      <c r="K3" t="s">
        <v>121</v>
      </c>
      <c r="L3" t="s">
        <v>122</v>
      </c>
      <c r="M3" t="s">
        <v>123</v>
      </c>
      <c r="N3" t="s">
        <v>124</v>
      </c>
      <c r="O3" t="s">
        <v>125</v>
      </c>
      <c r="P3" t="s">
        <v>126</v>
      </c>
      <c r="Q3" t="s">
        <v>127</v>
      </c>
      <c r="R3" t="s">
        <v>128</v>
      </c>
      <c r="S3" t="s">
        <v>129</v>
      </c>
      <c r="T3" t="s">
        <v>130</v>
      </c>
      <c r="U3" t="s">
        <v>131</v>
      </c>
      <c r="V3" t="s">
        <v>132</v>
      </c>
      <c r="W3" t="s">
        <v>133</v>
      </c>
      <c r="X3" t="s">
        <v>134</v>
      </c>
      <c r="Y3" t="s">
        <v>135</v>
      </c>
      <c r="Z3" t="s">
        <v>136</v>
      </c>
      <c r="AA3" t="s">
        <v>137</v>
      </c>
      <c r="AB3" t="s">
        <v>138</v>
      </c>
    </row>
    <row r="4" spans="1:28">
      <c r="A4" s="65" t="s">
        <v>100</v>
      </c>
      <c r="B4" s="78">
        <v>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</row>
    <row r="5" spans="1:28">
      <c r="A5" s="65" t="s">
        <v>101</v>
      </c>
      <c r="B5" s="78">
        <v>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</row>
    <row r="6" spans="1:28">
      <c r="A6" s="65" t="s">
        <v>102</v>
      </c>
      <c r="B6" s="78">
        <v>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78">
        <v>0</v>
      </c>
      <c r="Z6" s="78">
        <v>0</v>
      </c>
      <c r="AA6" s="78">
        <v>0</v>
      </c>
      <c r="AB6" s="78">
        <v>0</v>
      </c>
    </row>
    <row r="7" spans="1:28">
      <c r="A7" s="65" t="s">
        <v>103</v>
      </c>
      <c r="B7" s="78">
        <v>0</v>
      </c>
      <c r="C7" s="78">
        <v>0</v>
      </c>
      <c r="D7" s="78">
        <v>0</v>
      </c>
      <c r="E7" s="78">
        <v>0</v>
      </c>
      <c r="F7" s="78">
        <v>0</v>
      </c>
      <c r="G7" s="78">
        <v>0</v>
      </c>
      <c r="H7" s="78">
        <v>0</v>
      </c>
      <c r="I7" s="78">
        <v>0</v>
      </c>
      <c r="J7" s="78">
        <v>0</v>
      </c>
      <c r="K7" s="78">
        <v>0</v>
      </c>
      <c r="L7" s="78">
        <v>0</v>
      </c>
      <c r="M7" s="78">
        <v>0</v>
      </c>
      <c r="N7" s="78">
        <v>0</v>
      </c>
      <c r="O7" s="78">
        <v>0</v>
      </c>
      <c r="P7" s="78">
        <v>0</v>
      </c>
      <c r="Q7" s="78">
        <v>0</v>
      </c>
      <c r="R7" s="78">
        <v>0</v>
      </c>
      <c r="S7" s="78">
        <v>0</v>
      </c>
      <c r="T7" s="78">
        <v>0</v>
      </c>
      <c r="U7" s="78">
        <v>0</v>
      </c>
      <c r="V7" s="78">
        <v>0</v>
      </c>
      <c r="W7" s="78">
        <v>0</v>
      </c>
      <c r="X7" s="78">
        <v>0</v>
      </c>
      <c r="Y7" s="78">
        <v>0</v>
      </c>
      <c r="Z7" s="78">
        <v>0</v>
      </c>
      <c r="AA7" s="78">
        <v>0</v>
      </c>
      <c r="AB7" s="78">
        <v>0</v>
      </c>
    </row>
    <row r="8" spans="1:28">
      <c r="A8" s="65" t="s">
        <v>104</v>
      </c>
      <c r="B8" s="78">
        <v>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</row>
    <row r="9" spans="1:28">
      <c r="A9" s="65" t="s">
        <v>105</v>
      </c>
      <c r="B9" s="78">
        <v>0</v>
      </c>
      <c r="C9" s="78">
        <v>0</v>
      </c>
      <c r="D9" s="78">
        <v>0</v>
      </c>
      <c r="E9" s="78">
        <v>0</v>
      </c>
      <c r="F9" s="78">
        <v>0</v>
      </c>
      <c r="G9" s="78">
        <v>0</v>
      </c>
      <c r="H9" s="78">
        <v>0</v>
      </c>
      <c r="I9" s="78">
        <v>0</v>
      </c>
      <c r="J9" s="78">
        <v>0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</row>
    <row r="10" spans="1:28">
      <c r="A10" s="65" t="s">
        <v>106</v>
      </c>
      <c r="B10" s="78">
        <v>0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78">
        <v>0</v>
      </c>
      <c r="J10" s="78">
        <v>0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8">
        <v>0</v>
      </c>
      <c r="S10" s="78">
        <v>0</v>
      </c>
      <c r="T10" s="78">
        <v>0</v>
      </c>
      <c r="U10" s="78">
        <v>0</v>
      </c>
      <c r="V10" s="78">
        <v>0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</row>
    <row r="11" spans="1:28">
      <c r="A11" s="65" t="s">
        <v>107</v>
      </c>
      <c r="B11" s="78">
        <v>0</v>
      </c>
      <c r="C11" s="78">
        <v>0</v>
      </c>
      <c r="D11" s="78">
        <v>0</v>
      </c>
      <c r="E11" s="78">
        <v>0</v>
      </c>
      <c r="F11" s="78">
        <v>0</v>
      </c>
      <c r="G11" s="78">
        <v>0</v>
      </c>
      <c r="H11" s="78">
        <v>0</v>
      </c>
      <c r="I11" s="78">
        <v>0</v>
      </c>
      <c r="J11" s="78">
        <v>0</v>
      </c>
      <c r="K11" s="78">
        <v>0</v>
      </c>
      <c r="L11" s="78">
        <v>0</v>
      </c>
      <c r="M11" s="78">
        <v>0</v>
      </c>
      <c r="N11" s="78">
        <v>0</v>
      </c>
      <c r="O11" s="78">
        <v>0</v>
      </c>
      <c r="P11" s="78">
        <v>0</v>
      </c>
      <c r="Q11" s="78">
        <v>0</v>
      </c>
      <c r="R11" s="78">
        <v>0</v>
      </c>
      <c r="S11" s="78">
        <v>0</v>
      </c>
      <c r="T11" s="78">
        <v>0</v>
      </c>
      <c r="U11" s="78">
        <v>0</v>
      </c>
      <c r="V11" s="78">
        <v>0</v>
      </c>
      <c r="W11" s="78">
        <v>0</v>
      </c>
      <c r="X11" s="78">
        <v>0</v>
      </c>
      <c r="Y11" s="78">
        <v>0</v>
      </c>
      <c r="Z11" s="78">
        <v>0</v>
      </c>
      <c r="AA11" s="78">
        <v>0</v>
      </c>
      <c r="AB11" s="78">
        <v>0</v>
      </c>
    </row>
    <row r="12" spans="1:28">
      <c r="A12" s="65" t="s">
        <v>108</v>
      </c>
      <c r="B12" s="78">
        <v>0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</row>
    <row r="13" spans="1:28">
      <c r="A13" s="65" t="s">
        <v>109</v>
      </c>
      <c r="B13" s="78">
        <v>0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</row>
    <row r="14" spans="1:28">
      <c r="A14" s="65" t="s">
        <v>110</v>
      </c>
      <c r="B14" s="78">
        <v>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78">
        <v>0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8">
        <v>0</v>
      </c>
      <c r="V14" s="78">
        <v>0</v>
      </c>
      <c r="W14" s="78">
        <v>0</v>
      </c>
      <c r="X14" s="78">
        <v>0</v>
      </c>
      <c r="Y14" s="78">
        <v>0</v>
      </c>
      <c r="Z14" s="78">
        <v>0</v>
      </c>
      <c r="AA14" s="78">
        <v>0</v>
      </c>
      <c r="AB14" s="78">
        <v>0</v>
      </c>
    </row>
    <row r="15" spans="1:28">
      <c r="A15" s="65" t="s">
        <v>111</v>
      </c>
      <c r="B15" s="78">
        <v>0</v>
      </c>
      <c r="C15" s="78">
        <v>0</v>
      </c>
      <c r="D15" s="78">
        <v>0</v>
      </c>
      <c r="E15" s="78">
        <v>0</v>
      </c>
      <c r="F15" s="78">
        <v>0</v>
      </c>
      <c r="G15" s="78">
        <v>0</v>
      </c>
      <c r="H15" s="78">
        <v>0</v>
      </c>
      <c r="I15" s="78">
        <v>0</v>
      </c>
      <c r="J15" s="78">
        <v>0</v>
      </c>
      <c r="K15" s="78">
        <v>0</v>
      </c>
      <c r="L15" s="78">
        <v>0</v>
      </c>
      <c r="M15" s="78">
        <v>0</v>
      </c>
      <c r="N15" s="78">
        <v>0</v>
      </c>
      <c r="O15" s="78">
        <v>0</v>
      </c>
      <c r="P15" s="78">
        <v>0</v>
      </c>
      <c r="Q15" s="78">
        <v>0</v>
      </c>
      <c r="R15" s="78">
        <v>0</v>
      </c>
      <c r="S15" s="78">
        <v>0</v>
      </c>
      <c r="T15" s="78">
        <v>0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</row>
    <row r="16" spans="1:28">
      <c r="A16" s="65" t="s">
        <v>86</v>
      </c>
      <c r="B16" s="78">
        <v>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</row>
    <row r="20" spans="32:60" ht="21">
      <c r="AF20" s="39"/>
      <c r="AG20" s="210" t="s">
        <v>31</v>
      </c>
      <c r="AH20" s="211"/>
      <c r="AI20" s="211"/>
      <c r="AJ20" s="211"/>
      <c r="AK20" s="211"/>
      <c r="AL20" s="211"/>
      <c r="AM20" s="211"/>
      <c r="AN20" s="211"/>
      <c r="AO20" s="211"/>
      <c r="AP20" s="211"/>
      <c r="AQ20" s="211"/>
      <c r="AR20" s="54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1"/>
      <c r="BH20" s="212" t="s">
        <v>81</v>
      </c>
    </row>
    <row r="21" spans="32:60" ht="21">
      <c r="AF21" s="87" t="s">
        <v>99</v>
      </c>
      <c r="AG21" s="88" t="s">
        <v>40</v>
      </c>
      <c r="AH21" s="88" t="s">
        <v>89</v>
      </c>
      <c r="AI21" s="88" t="s">
        <v>90</v>
      </c>
      <c r="AJ21" s="88" t="s">
        <v>91</v>
      </c>
      <c r="AK21" s="88" t="s">
        <v>52</v>
      </c>
      <c r="AL21" s="88" t="s">
        <v>92</v>
      </c>
      <c r="AM21" s="88" t="s">
        <v>59</v>
      </c>
      <c r="AN21" s="88" t="s">
        <v>62</v>
      </c>
      <c r="AO21" s="88" t="s">
        <v>64</v>
      </c>
      <c r="AP21" s="88" t="s">
        <v>65</v>
      </c>
      <c r="AQ21" s="88" t="s">
        <v>66</v>
      </c>
      <c r="AR21" s="88" t="s">
        <v>67</v>
      </c>
      <c r="AS21" s="88" t="s">
        <v>68</v>
      </c>
      <c r="AT21" s="88" t="s">
        <v>43</v>
      </c>
      <c r="AU21" s="88" t="s">
        <v>34</v>
      </c>
      <c r="AV21" s="88" t="s">
        <v>93</v>
      </c>
      <c r="AW21" s="88" t="s">
        <v>72</v>
      </c>
      <c r="AX21" s="88" t="s">
        <v>73</v>
      </c>
      <c r="AY21" s="88" t="s">
        <v>94</v>
      </c>
      <c r="AZ21" s="88" t="s">
        <v>71</v>
      </c>
      <c r="BA21" s="88" t="s">
        <v>56</v>
      </c>
      <c r="BB21" s="88" t="s">
        <v>69</v>
      </c>
      <c r="BC21" s="88" t="s">
        <v>75</v>
      </c>
      <c r="BD21" s="88" t="s">
        <v>76</v>
      </c>
      <c r="BE21" s="88" t="s">
        <v>77</v>
      </c>
      <c r="BF21" s="88" t="s">
        <v>78</v>
      </c>
      <c r="BG21" s="89" t="s">
        <v>79</v>
      </c>
      <c r="BH21" s="212"/>
    </row>
    <row r="22" spans="32:60">
      <c r="AF22" s="85">
        <f>Dados!AI35</f>
        <v>0</v>
      </c>
      <c r="AG22" s="47">
        <f>Dados!AJ35</f>
        <v>0</v>
      </c>
      <c r="AH22" s="47">
        <f>Dados!AK35</f>
        <v>0</v>
      </c>
      <c r="AI22" s="47">
        <f>Dados!AL35</f>
        <v>0</v>
      </c>
      <c r="AJ22" s="47">
        <f>Dados!AM35</f>
        <v>0</v>
      </c>
      <c r="AK22" s="47">
        <f>Dados!AN35</f>
        <v>0</v>
      </c>
      <c r="AL22" s="47">
        <f>Dados!AO35</f>
        <v>0</v>
      </c>
      <c r="AM22" s="47">
        <f>Dados!AP35</f>
        <v>0</v>
      </c>
      <c r="AN22" s="47">
        <f>Dados!AQ35</f>
        <v>0</v>
      </c>
      <c r="AO22" s="47">
        <f>Dados!AR35</f>
        <v>0</v>
      </c>
      <c r="AP22" s="47">
        <f>Dados!AS35</f>
        <v>0</v>
      </c>
      <c r="AQ22" s="47">
        <f>Dados!AT35</f>
        <v>0</v>
      </c>
      <c r="AR22" s="47">
        <f>Dados!AU35</f>
        <v>0</v>
      </c>
      <c r="AS22" s="47">
        <f>Dados!AV35</f>
        <v>0</v>
      </c>
      <c r="AT22" s="47">
        <f>Dados!AW35</f>
        <v>0</v>
      </c>
      <c r="AU22" s="47">
        <f>Dados!AX35</f>
        <v>0</v>
      </c>
      <c r="AV22" s="47">
        <f>Dados!AY35</f>
        <v>0</v>
      </c>
      <c r="AW22" s="47">
        <f>Dados!AZ35</f>
        <v>0</v>
      </c>
      <c r="AX22" s="47">
        <f>Dados!BA35</f>
        <v>0</v>
      </c>
      <c r="AY22" s="47">
        <f>Dados!BB35</f>
        <v>0</v>
      </c>
      <c r="AZ22" s="47">
        <f>Dados!BC35</f>
        <v>0</v>
      </c>
      <c r="BA22" s="47">
        <f>Dados!BD35</f>
        <v>0</v>
      </c>
      <c r="BB22" s="47">
        <f>Dados!BE35</f>
        <v>0</v>
      </c>
      <c r="BC22" s="47">
        <f>Dados!BF35</f>
        <v>0</v>
      </c>
      <c r="BD22" s="47">
        <f>Dados!BG35</f>
        <v>0</v>
      </c>
      <c r="BE22" s="47">
        <f>Dados!BH35</f>
        <v>0</v>
      </c>
      <c r="BF22" s="47">
        <f>Dados!BI35</f>
        <v>0</v>
      </c>
      <c r="BG22" s="79">
        <f>Dados!BJ35</f>
        <v>0</v>
      </c>
      <c r="BH22" s="48">
        <f>SUM(AG22:BG22)</f>
        <v>0</v>
      </c>
    </row>
    <row r="23" spans="32:60">
      <c r="AF23" s="85">
        <f>Dados!AI36</f>
        <v>0</v>
      </c>
      <c r="AG23" s="47">
        <f>Dados!AJ36</f>
        <v>0</v>
      </c>
      <c r="AH23" s="47">
        <f>Dados!AK36</f>
        <v>0</v>
      </c>
      <c r="AI23" s="47">
        <f>Dados!AL36</f>
        <v>0</v>
      </c>
      <c r="AJ23" s="47">
        <f>Dados!AM36</f>
        <v>0</v>
      </c>
      <c r="AK23" s="47">
        <f>Dados!AN36</f>
        <v>0</v>
      </c>
      <c r="AL23" s="47">
        <f>Dados!AO36</f>
        <v>0</v>
      </c>
      <c r="AM23" s="47">
        <f>Dados!AP36</f>
        <v>0</v>
      </c>
      <c r="AN23" s="47">
        <f>Dados!AQ36</f>
        <v>0</v>
      </c>
      <c r="AO23" s="47">
        <f>Dados!AR36</f>
        <v>0</v>
      </c>
      <c r="AP23" s="47">
        <f>Dados!AS36</f>
        <v>0</v>
      </c>
      <c r="AQ23" s="47">
        <f>Dados!AT36</f>
        <v>0</v>
      </c>
      <c r="AR23" s="47">
        <f>Dados!AU36</f>
        <v>0</v>
      </c>
      <c r="AS23" s="47">
        <f>Dados!AV36</f>
        <v>0</v>
      </c>
      <c r="AT23" s="47">
        <f>Dados!AW36</f>
        <v>0</v>
      </c>
      <c r="AU23" s="47">
        <f>Dados!AX36</f>
        <v>0</v>
      </c>
      <c r="AV23" s="47">
        <f>Dados!AY36</f>
        <v>0</v>
      </c>
      <c r="AW23" s="47">
        <f>Dados!AZ36</f>
        <v>0</v>
      </c>
      <c r="AX23" s="47">
        <f>Dados!BA36</f>
        <v>0</v>
      </c>
      <c r="AY23" s="47">
        <f>Dados!BB36</f>
        <v>0</v>
      </c>
      <c r="AZ23" s="47">
        <f>Dados!BC36</f>
        <v>0</v>
      </c>
      <c r="BA23" s="47">
        <f>Dados!BD36</f>
        <v>0</v>
      </c>
      <c r="BB23" s="47">
        <f>Dados!BE36</f>
        <v>0</v>
      </c>
      <c r="BC23" s="47">
        <f>Dados!BF36</f>
        <v>0</v>
      </c>
      <c r="BD23" s="47">
        <f>Dados!BG36</f>
        <v>0</v>
      </c>
      <c r="BE23" s="47">
        <f>Dados!BH36</f>
        <v>0</v>
      </c>
      <c r="BF23" s="47">
        <f>Dados!BI36</f>
        <v>0</v>
      </c>
      <c r="BG23" s="79">
        <f>Dados!BJ36</f>
        <v>0</v>
      </c>
      <c r="BH23" s="48">
        <f t="shared" ref="BH23:BH33" si="0">SUM(AG23:BG23)</f>
        <v>0</v>
      </c>
    </row>
    <row r="24" spans="32:60">
      <c r="AF24" s="85">
        <f>Dados!AI37</f>
        <v>0</v>
      </c>
      <c r="AG24" s="47">
        <f>Dados!AJ37</f>
        <v>0</v>
      </c>
      <c r="AH24" s="47">
        <f>Dados!AK37</f>
        <v>0</v>
      </c>
      <c r="AI24" s="47">
        <f>Dados!AL37</f>
        <v>0</v>
      </c>
      <c r="AJ24" s="47">
        <f>Dados!AM37</f>
        <v>0</v>
      </c>
      <c r="AK24" s="47">
        <f>Dados!AN37</f>
        <v>0</v>
      </c>
      <c r="AL24" s="47">
        <f>Dados!AO37</f>
        <v>0</v>
      </c>
      <c r="AM24" s="47">
        <f>Dados!AP37</f>
        <v>0</v>
      </c>
      <c r="AN24" s="47">
        <f>Dados!AQ37</f>
        <v>0</v>
      </c>
      <c r="AO24" s="47">
        <f>Dados!AR37</f>
        <v>0</v>
      </c>
      <c r="AP24" s="47">
        <f>Dados!AS37</f>
        <v>0</v>
      </c>
      <c r="AQ24" s="47">
        <f>Dados!AT37</f>
        <v>0</v>
      </c>
      <c r="AR24" s="47">
        <f>Dados!AU37</f>
        <v>0</v>
      </c>
      <c r="AS24" s="47">
        <f>Dados!AV37</f>
        <v>0</v>
      </c>
      <c r="AT24" s="47">
        <f>Dados!AW37</f>
        <v>0</v>
      </c>
      <c r="AU24" s="47">
        <f>Dados!AX37</f>
        <v>0</v>
      </c>
      <c r="AV24" s="47">
        <f>Dados!AY37</f>
        <v>0</v>
      </c>
      <c r="AW24" s="47">
        <f>Dados!AZ37</f>
        <v>0</v>
      </c>
      <c r="AX24" s="47">
        <f>Dados!BA37</f>
        <v>0</v>
      </c>
      <c r="AY24" s="47">
        <f>Dados!BB37</f>
        <v>0</v>
      </c>
      <c r="AZ24" s="47">
        <f>Dados!BC37</f>
        <v>0</v>
      </c>
      <c r="BA24" s="47">
        <f>Dados!BD37</f>
        <v>0</v>
      </c>
      <c r="BB24" s="47">
        <f>Dados!BE37</f>
        <v>0</v>
      </c>
      <c r="BC24" s="47">
        <f>Dados!BF37</f>
        <v>0</v>
      </c>
      <c r="BD24" s="47">
        <f>Dados!BG37</f>
        <v>0</v>
      </c>
      <c r="BE24" s="47">
        <f>Dados!BH37</f>
        <v>0</v>
      </c>
      <c r="BF24" s="47">
        <f>Dados!BI37</f>
        <v>0</v>
      </c>
      <c r="BG24" s="79">
        <f>Dados!BJ37</f>
        <v>0</v>
      </c>
      <c r="BH24" s="48">
        <f t="shared" si="0"/>
        <v>0</v>
      </c>
    </row>
    <row r="25" spans="32:60">
      <c r="AF25" s="85">
        <f>Dados!AI38</f>
        <v>0</v>
      </c>
      <c r="AG25" s="47">
        <f>Dados!AJ38</f>
        <v>0</v>
      </c>
      <c r="AH25" s="47">
        <f>Dados!AK38</f>
        <v>0</v>
      </c>
      <c r="AI25" s="47">
        <f>Dados!AL38</f>
        <v>0</v>
      </c>
      <c r="AJ25" s="47">
        <f>Dados!AM38</f>
        <v>0</v>
      </c>
      <c r="AK25" s="47">
        <f>Dados!AN38</f>
        <v>0</v>
      </c>
      <c r="AL25" s="47">
        <f>Dados!AO38</f>
        <v>0</v>
      </c>
      <c r="AM25" s="47">
        <f>Dados!AP38</f>
        <v>0</v>
      </c>
      <c r="AN25" s="47">
        <f>Dados!AQ38</f>
        <v>0</v>
      </c>
      <c r="AO25" s="47">
        <f>Dados!AR38</f>
        <v>0</v>
      </c>
      <c r="AP25" s="47">
        <f>Dados!AS38</f>
        <v>0</v>
      </c>
      <c r="AQ25" s="47">
        <f>Dados!AT38</f>
        <v>0</v>
      </c>
      <c r="AR25" s="47">
        <f>Dados!AU38</f>
        <v>0</v>
      </c>
      <c r="AS25" s="47">
        <f>Dados!AV38</f>
        <v>0</v>
      </c>
      <c r="AT25" s="47">
        <f>Dados!AW38</f>
        <v>0</v>
      </c>
      <c r="AU25" s="47">
        <f>Dados!AX38</f>
        <v>0</v>
      </c>
      <c r="AV25" s="47">
        <f>Dados!AY38</f>
        <v>0</v>
      </c>
      <c r="AW25" s="47">
        <f>Dados!AZ38</f>
        <v>0</v>
      </c>
      <c r="AX25" s="47">
        <f>Dados!BA38</f>
        <v>0</v>
      </c>
      <c r="AY25" s="47">
        <f>Dados!BB38</f>
        <v>0</v>
      </c>
      <c r="AZ25" s="47">
        <f>Dados!BC38</f>
        <v>0</v>
      </c>
      <c r="BA25" s="47">
        <f>Dados!BD38</f>
        <v>0</v>
      </c>
      <c r="BB25" s="47">
        <f>Dados!BE38</f>
        <v>0</v>
      </c>
      <c r="BC25" s="47">
        <f>Dados!BF38</f>
        <v>0</v>
      </c>
      <c r="BD25" s="47">
        <f>Dados!BG38</f>
        <v>0</v>
      </c>
      <c r="BE25" s="47">
        <f>Dados!BH38</f>
        <v>0</v>
      </c>
      <c r="BF25" s="47">
        <f>Dados!BI38</f>
        <v>0</v>
      </c>
      <c r="BG25" s="79">
        <f>Dados!BJ38</f>
        <v>0</v>
      </c>
      <c r="BH25" s="48">
        <f t="shared" si="0"/>
        <v>0</v>
      </c>
    </row>
    <row r="26" spans="32:60">
      <c r="AF26" s="85">
        <f>Dados!AI39</f>
        <v>0</v>
      </c>
      <c r="AG26" s="47">
        <f>Dados!AJ39</f>
        <v>0</v>
      </c>
      <c r="AH26" s="47">
        <f>Dados!AK39</f>
        <v>0</v>
      </c>
      <c r="AI26" s="47">
        <f>Dados!AL39</f>
        <v>0</v>
      </c>
      <c r="AJ26" s="47">
        <f>Dados!AM39</f>
        <v>0</v>
      </c>
      <c r="AK26" s="47">
        <f>Dados!AN39</f>
        <v>0</v>
      </c>
      <c r="AL26" s="47">
        <f>Dados!AO39</f>
        <v>0</v>
      </c>
      <c r="AM26" s="47">
        <f>Dados!AP39</f>
        <v>0</v>
      </c>
      <c r="AN26" s="47">
        <f>Dados!AQ39</f>
        <v>0</v>
      </c>
      <c r="AO26" s="47">
        <f>Dados!AR39</f>
        <v>0</v>
      </c>
      <c r="AP26" s="47">
        <f>Dados!AS39</f>
        <v>0</v>
      </c>
      <c r="AQ26" s="47">
        <f>Dados!AT39</f>
        <v>0</v>
      </c>
      <c r="AR26" s="47">
        <f>Dados!AU39</f>
        <v>0</v>
      </c>
      <c r="AS26" s="47">
        <f>Dados!AV39</f>
        <v>0</v>
      </c>
      <c r="AT26" s="47">
        <f>Dados!AW39</f>
        <v>0</v>
      </c>
      <c r="AU26" s="47">
        <f>Dados!AX39</f>
        <v>0</v>
      </c>
      <c r="AV26" s="47">
        <f>Dados!AY39</f>
        <v>0</v>
      </c>
      <c r="AW26" s="47">
        <f>Dados!AZ39</f>
        <v>0</v>
      </c>
      <c r="AX26" s="47">
        <f>Dados!BA39</f>
        <v>0</v>
      </c>
      <c r="AY26" s="47">
        <f>Dados!BB39</f>
        <v>0</v>
      </c>
      <c r="AZ26" s="47">
        <f>Dados!BC39</f>
        <v>0</v>
      </c>
      <c r="BA26" s="47">
        <f>Dados!BD39</f>
        <v>0</v>
      </c>
      <c r="BB26" s="47">
        <f>Dados!BE39</f>
        <v>0</v>
      </c>
      <c r="BC26" s="47">
        <f>Dados!BF39</f>
        <v>0</v>
      </c>
      <c r="BD26" s="47">
        <f>Dados!BG39</f>
        <v>0</v>
      </c>
      <c r="BE26" s="47">
        <f>Dados!BH39</f>
        <v>0</v>
      </c>
      <c r="BF26" s="47">
        <f>Dados!BI39</f>
        <v>0</v>
      </c>
      <c r="BG26" s="79">
        <f>Dados!BJ39</f>
        <v>0</v>
      </c>
      <c r="BH26" s="48">
        <f t="shared" si="0"/>
        <v>0</v>
      </c>
    </row>
    <row r="27" spans="32:60">
      <c r="AF27" s="85">
        <f>Dados!AI40</f>
        <v>0</v>
      </c>
      <c r="AG27" s="47">
        <f>Dados!AJ40</f>
        <v>0</v>
      </c>
      <c r="AH27" s="47">
        <f>Dados!AK40</f>
        <v>0</v>
      </c>
      <c r="AI27" s="47">
        <f>Dados!AL40</f>
        <v>0</v>
      </c>
      <c r="AJ27" s="47">
        <f>Dados!AM40</f>
        <v>0</v>
      </c>
      <c r="AK27" s="47">
        <f>Dados!AN40</f>
        <v>0</v>
      </c>
      <c r="AL27" s="47">
        <f>Dados!AO40</f>
        <v>0</v>
      </c>
      <c r="AM27" s="47">
        <f>Dados!AP40</f>
        <v>0</v>
      </c>
      <c r="AN27" s="47">
        <f>Dados!AQ40</f>
        <v>0</v>
      </c>
      <c r="AO27" s="47">
        <f>Dados!AR40</f>
        <v>0</v>
      </c>
      <c r="AP27" s="47">
        <f>Dados!AS40</f>
        <v>0</v>
      </c>
      <c r="AQ27" s="47">
        <f>Dados!AT40</f>
        <v>0</v>
      </c>
      <c r="AR27" s="47">
        <f>Dados!AU40</f>
        <v>0</v>
      </c>
      <c r="AS27" s="47">
        <f>Dados!AV40</f>
        <v>0</v>
      </c>
      <c r="AT27" s="47">
        <f>Dados!AW40</f>
        <v>0</v>
      </c>
      <c r="AU27" s="47">
        <f>Dados!AX40</f>
        <v>0</v>
      </c>
      <c r="AV27" s="47">
        <f>Dados!AY40</f>
        <v>0</v>
      </c>
      <c r="AW27" s="47">
        <f>Dados!AZ40</f>
        <v>0</v>
      </c>
      <c r="AX27" s="47">
        <f>Dados!BA40</f>
        <v>0</v>
      </c>
      <c r="AY27" s="47">
        <f>Dados!BB40</f>
        <v>0</v>
      </c>
      <c r="AZ27" s="47">
        <f>Dados!BC40</f>
        <v>0</v>
      </c>
      <c r="BA27" s="47">
        <f>Dados!BD40</f>
        <v>0</v>
      </c>
      <c r="BB27" s="47">
        <f>Dados!BE40</f>
        <v>0</v>
      </c>
      <c r="BC27" s="47">
        <f>Dados!BF40</f>
        <v>0</v>
      </c>
      <c r="BD27" s="47">
        <f>Dados!BG40</f>
        <v>0</v>
      </c>
      <c r="BE27" s="47">
        <f>Dados!BH40</f>
        <v>0</v>
      </c>
      <c r="BF27" s="47">
        <f>Dados!BI40</f>
        <v>0</v>
      </c>
      <c r="BG27" s="79">
        <f>Dados!BJ40</f>
        <v>0</v>
      </c>
      <c r="BH27" s="48">
        <f t="shared" si="0"/>
        <v>0</v>
      </c>
    </row>
    <row r="28" spans="32:60">
      <c r="AF28" s="85">
        <f>Dados!AI41</f>
        <v>0</v>
      </c>
      <c r="AG28" s="47">
        <f>Dados!AJ41</f>
        <v>0</v>
      </c>
      <c r="AH28" s="47">
        <f>Dados!AK41</f>
        <v>0</v>
      </c>
      <c r="AI28" s="47">
        <f>Dados!AL41</f>
        <v>0</v>
      </c>
      <c r="AJ28" s="47">
        <f>Dados!AM41</f>
        <v>0</v>
      </c>
      <c r="AK28" s="47">
        <f>Dados!AN41</f>
        <v>0</v>
      </c>
      <c r="AL28" s="47">
        <f>Dados!AO41</f>
        <v>0</v>
      </c>
      <c r="AM28" s="47">
        <f>Dados!AP41</f>
        <v>0</v>
      </c>
      <c r="AN28" s="47">
        <f>Dados!AQ41</f>
        <v>0</v>
      </c>
      <c r="AO28" s="47">
        <f>Dados!AR41</f>
        <v>0</v>
      </c>
      <c r="AP28" s="47">
        <f>Dados!AS41</f>
        <v>0</v>
      </c>
      <c r="AQ28" s="47">
        <f>Dados!AT41</f>
        <v>0</v>
      </c>
      <c r="AR28" s="47">
        <f>Dados!AU41</f>
        <v>0</v>
      </c>
      <c r="AS28" s="47">
        <f>Dados!AV41</f>
        <v>0</v>
      </c>
      <c r="AT28" s="47">
        <f>Dados!AW41</f>
        <v>0</v>
      </c>
      <c r="AU28" s="47">
        <f>Dados!AX41</f>
        <v>0</v>
      </c>
      <c r="AV28" s="47">
        <f>Dados!AY41</f>
        <v>0</v>
      </c>
      <c r="AW28" s="47">
        <f>Dados!AZ41</f>
        <v>0</v>
      </c>
      <c r="AX28" s="47">
        <f>Dados!BA41</f>
        <v>0</v>
      </c>
      <c r="AY28" s="47">
        <f>Dados!BB41</f>
        <v>0</v>
      </c>
      <c r="AZ28" s="47">
        <f>Dados!BC41</f>
        <v>0</v>
      </c>
      <c r="BA28" s="47">
        <f>Dados!BD41</f>
        <v>0</v>
      </c>
      <c r="BB28" s="47">
        <f>Dados!BE41</f>
        <v>0</v>
      </c>
      <c r="BC28" s="47">
        <f>Dados!BF41</f>
        <v>0</v>
      </c>
      <c r="BD28" s="47">
        <f>Dados!BG41</f>
        <v>0</v>
      </c>
      <c r="BE28" s="47">
        <f>Dados!BH41</f>
        <v>0</v>
      </c>
      <c r="BF28" s="47">
        <f>Dados!BI41</f>
        <v>0</v>
      </c>
      <c r="BG28" s="79">
        <f>Dados!BJ41</f>
        <v>0</v>
      </c>
      <c r="BH28" s="48">
        <f t="shared" si="0"/>
        <v>0</v>
      </c>
    </row>
    <row r="29" spans="32:60">
      <c r="AF29" s="85">
        <f>Dados!AI42</f>
        <v>0</v>
      </c>
      <c r="AG29" s="47">
        <f>Dados!AJ42</f>
        <v>0</v>
      </c>
      <c r="AH29" s="47">
        <f>Dados!AK42</f>
        <v>0</v>
      </c>
      <c r="AI29" s="47">
        <f>Dados!AL42</f>
        <v>0</v>
      </c>
      <c r="AJ29" s="47">
        <f>Dados!AM42</f>
        <v>0</v>
      </c>
      <c r="AK29" s="47">
        <f>Dados!AN42</f>
        <v>0</v>
      </c>
      <c r="AL29" s="47">
        <f>Dados!AO42</f>
        <v>0</v>
      </c>
      <c r="AM29" s="47">
        <f>Dados!AP42</f>
        <v>0</v>
      </c>
      <c r="AN29" s="47">
        <f>Dados!AQ42</f>
        <v>0</v>
      </c>
      <c r="AO29" s="47">
        <f>Dados!AR42</f>
        <v>0</v>
      </c>
      <c r="AP29" s="47">
        <f>Dados!AS42</f>
        <v>0</v>
      </c>
      <c r="AQ29" s="47">
        <f>Dados!AT42</f>
        <v>0</v>
      </c>
      <c r="AR29" s="47">
        <f>Dados!AU42</f>
        <v>0</v>
      </c>
      <c r="AS29" s="47">
        <f>Dados!AV42</f>
        <v>0</v>
      </c>
      <c r="AT29" s="47">
        <f>Dados!AW42</f>
        <v>0</v>
      </c>
      <c r="AU29" s="47">
        <f>Dados!AX42</f>
        <v>0</v>
      </c>
      <c r="AV29" s="47">
        <f>Dados!AY42</f>
        <v>0</v>
      </c>
      <c r="AW29" s="47">
        <f>Dados!AZ42</f>
        <v>0</v>
      </c>
      <c r="AX29" s="47">
        <f>Dados!BA42</f>
        <v>0</v>
      </c>
      <c r="AY29" s="47">
        <f>Dados!BB42</f>
        <v>0</v>
      </c>
      <c r="AZ29" s="47">
        <f>Dados!BC42</f>
        <v>0</v>
      </c>
      <c r="BA29" s="47">
        <f>Dados!BD42</f>
        <v>0</v>
      </c>
      <c r="BB29" s="47">
        <f>Dados!BE42</f>
        <v>0</v>
      </c>
      <c r="BC29" s="47">
        <f>Dados!BF42</f>
        <v>0</v>
      </c>
      <c r="BD29" s="47">
        <f>Dados!BG42</f>
        <v>0</v>
      </c>
      <c r="BE29" s="47">
        <f>Dados!BH42</f>
        <v>0</v>
      </c>
      <c r="BF29" s="47">
        <f>Dados!BI42</f>
        <v>0</v>
      </c>
      <c r="BG29" s="79">
        <f>Dados!BJ42</f>
        <v>0</v>
      </c>
      <c r="BH29" s="48">
        <f t="shared" si="0"/>
        <v>0</v>
      </c>
    </row>
    <row r="30" spans="32:60">
      <c r="AF30" s="85">
        <f>Dados!AI43</f>
        <v>0</v>
      </c>
      <c r="AG30" s="47">
        <f>Dados!AJ43</f>
        <v>0</v>
      </c>
      <c r="AH30" s="47">
        <f>Dados!AK43</f>
        <v>0</v>
      </c>
      <c r="AI30" s="47">
        <f>Dados!AL43</f>
        <v>0</v>
      </c>
      <c r="AJ30" s="47">
        <f>Dados!AM43</f>
        <v>0</v>
      </c>
      <c r="AK30" s="47">
        <f>Dados!AN43</f>
        <v>0</v>
      </c>
      <c r="AL30" s="47">
        <f>Dados!AO43</f>
        <v>0</v>
      </c>
      <c r="AM30" s="47">
        <f>Dados!AP43</f>
        <v>0</v>
      </c>
      <c r="AN30" s="47">
        <f>Dados!AQ43</f>
        <v>0</v>
      </c>
      <c r="AO30" s="47">
        <f>Dados!AR43</f>
        <v>0</v>
      </c>
      <c r="AP30" s="47">
        <f>Dados!AS43</f>
        <v>0</v>
      </c>
      <c r="AQ30" s="47">
        <f>Dados!AT43</f>
        <v>0</v>
      </c>
      <c r="AR30" s="47">
        <f>Dados!AU43</f>
        <v>0</v>
      </c>
      <c r="AS30" s="47">
        <f>Dados!AV43</f>
        <v>0</v>
      </c>
      <c r="AT30" s="47">
        <f>Dados!AW43</f>
        <v>0</v>
      </c>
      <c r="AU30" s="47">
        <f>Dados!AX43</f>
        <v>0</v>
      </c>
      <c r="AV30" s="47">
        <f>Dados!AY43</f>
        <v>0</v>
      </c>
      <c r="AW30" s="47">
        <f>Dados!AZ43</f>
        <v>0</v>
      </c>
      <c r="AX30" s="47">
        <f>Dados!BA43</f>
        <v>0</v>
      </c>
      <c r="AY30" s="47">
        <f>Dados!BB43</f>
        <v>0</v>
      </c>
      <c r="AZ30" s="47">
        <f>Dados!BC43</f>
        <v>0</v>
      </c>
      <c r="BA30" s="47">
        <f>Dados!BD43</f>
        <v>0</v>
      </c>
      <c r="BB30" s="47">
        <f>Dados!BE43</f>
        <v>0</v>
      </c>
      <c r="BC30" s="47">
        <f>Dados!BF43</f>
        <v>0</v>
      </c>
      <c r="BD30" s="47">
        <f>Dados!BG43</f>
        <v>0</v>
      </c>
      <c r="BE30" s="47">
        <f>Dados!BH43</f>
        <v>0</v>
      </c>
      <c r="BF30" s="47">
        <f>Dados!BI43</f>
        <v>0</v>
      </c>
      <c r="BG30" s="79">
        <f>Dados!BJ43</f>
        <v>0</v>
      </c>
      <c r="BH30" s="48">
        <f t="shared" si="0"/>
        <v>0</v>
      </c>
    </row>
    <row r="31" spans="32:60">
      <c r="AF31" s="85">
        <f>Dados!AI44</f>
        <v>0</v>
      </c>
      <c r="AG31" s="47">
        <f>Dados!AJ44</f>
        <v>0</v>
      </c>
      <c r="AH31" s="47">
        <f>Dados!AK44</f>
        <v>0</v>
      </c>
      <c r="AI31" s="47">
        <f>Dados!AL44</f>
        <v>0</v>
      </c>
      <c r="AJ31" s="47">
        <f>Dados!AM44</f>
        <v>0</v>
      </c>
      <c r="AK31" s="47">
        <f>Dados!AN44</f>
        <v>0</v>
      </c>
      <c r="AL31" s="47">
        <f>Dados!AO44</f>
        <v>0</v>
      </c>
      <c r="AM31" s="47">
        <f>Dados!AP44</f>
        <v>0</v>
      </c>
      <c r="AN31" s="47">
        <f>Dados!AQ44</f>
        <v>0</v>
      </c>
      <c r="AO31" s="47">
        <f>Dados!AR44</f>
        <v>0</v>
      </c>
      <c r="AP31" s="47">
        <f>Dados!AS44</f>
        <v>0</v>
      </c>
      <c r="AQ31" s="47">
        <f>Dados!AT44</f>
        <v>0</v>
      </c>
      <c r="AR31" s="47">
        <f>Dados!AU44</f>
        <v>0</v>
      </c>
      <c r="AS31" s="47">
        <f>Dados!AV44</f>
        <v>0</v>
      </c>
      <c r="AT31" s="47">
        <f>Dados!AW44</f>
        <v>0</v>
      </c>
      <c r="AU31" s="47">
        <f>Dados!AX44</f>
        <v>0</v>
      </c>
      <c r="AV31" s="47">
        <f>Dados!AY44</f>
        <v>0</v>
      </c>
      <c r="AW31" s="47">
        <f>Dados!AZ44</f>
        <v>0</v>
      </c>
      <c r="AX31" s="47">
        <f>Dados!BA44</f>
        <v>0</v>
      </c>
      <c r="AY31" s="47">
        <f>Dados!BB44</f>
        <v>0</v>
      </c>
      <c r="AZ31" s="47">
        <f>Dados!BC44</f>
        <v>0</v>
      </c>
      <c r="BA31" s="47">
        <f>Dados!BD44</f>
        <v>0</v>
      </c>
      <c r="BB31" s="47">
        <f>Dados!BE44</f>
        <v>0</v>
      </c>
      <c r="BC31" s="47">
        <f>Dados!BF44</f>
        <v>0</v>
      </c>
      <c r="BD31" s="47">
        <f>Dados!BG44</f>
        <v>0</v>
      </c>
      <c r="BE31" s="47">
        <f>Dados!BH44</f>
        <v>0</v>
      </c>
      <c r="BF31" s="47">
        <f>Dados!BI44</f>
        <v>0</v>
      </c>
      <c r="BG31" s="79">
        <f>Dados!BJ44</f>
        <v>0</v>
      </c>
      <c r="BH31" s="48">
        <f t="shared" si="0"/>
        <v>0</v>
      </c>
    </row>
    <row r="32" spans="32:60">
      <c r="AF32" s="85">
        <f>Dados!AI45</f>
        <v>0</v>
      </c>
      <c r="AG32" s="47">
        <f>Dados!AJ45</f>
        <v>0</v>
      </c>
      <c r="AH32" s="47">
        <f>Dados!AK45</f>
        <v>0</v>
      </c>
      <c r="AI32" s="47">
        <f>Dados!AL45</f>
        <v>0</v>
      </c>
      <c r="AJ32" s="47">
        <f>Dados!AM45</f>
        <v>0</v>
      </c>
      <c r="AK32" s="47">
        <f>Dados!AN45</f>
        <v>0</v>
      </c>
      <c r="AL32" s="47">
        <f>Dados!AO45</f>
        <v>0</v>
      </c>
      <c r="AM32" s="47">
        <f>Dados!AP45</f>
        <v>0</v>
      </c>
      <c r="AN32" s="47">
        <f>Dados!AQ45</f>
        <v>0</v>
      </c>
      <c r="AO32" s="47">
        <f>Dados!AR45</f>
        <v>0</v>
      </c>
      <c r="AP32" s="47">
        <f>Dados!AS45</f>
        <v>0</v>
      </c>
      <c r="AQ32" s="47">
        <f>Dados!AT45</f>
        <v>0</v>
      </c>
      <c r="AR32" s="47">
        <f>Dados!AU45</f>
        <v>0</v>
      </c>
      <c r="AS32" s="47">
        <f>Dados!AV45</f>
        <v>0</v>
      </c>
      <c r="AT32" s="47">
        <f>Dados!AW45</f>
        <v>0</v>
      </c>
      <c r="AU32" s="47">
        <f>Dados!AX45</f>
        <v>0</v>
      </c>
      <c r="AV32" s="47">
        <f>Dados!AY45</f>
        <v>0</v>
      </c>
      <c r="AW32" s="47">
        <f>Dados!AZ45</f>
        <v>0</v>
      </c>
      <c r="AX32" s="47">
        <f>Dados!BA45</f>
        <v>0</v>
      </c>
      <c r="AY32" s="47">
        <f>Dados!BB45</f>
        <v>0</v>
      </c>
      <c r="AZ32" s="47">
        <f>Dados!BC45</f>
        <v>0</v>
      </c>
      <c r="BA32" s="47">
        <f>Dados!BD45</f>
        <v>0</v>
      </c>
      <c r="BB32" s="47">
        <f>Dados!BE45</f>
        <v>0</v>
      </c>
      <c r="BC32" s="47">
        <f>Dados!BF45</f>
        <v>0</v>
      </c>
      <c r="BD32" s="47">
        <f>Dados!BG45</f>
        <v>0</v>
      </c>
      <c r="BE32" s="47">
        <f>Dados!BH45</f>
        <v>0</v>
      </c>
      <c r="BF32" s="47">
        <f>Dados!BI45</f>
        <v>0</v>
      </c>
      <c r="BG32" s="79">
        <f>Dados!BJ45</f>
        <v>0</v>
      </c>
      <c r="BH32" s="48">
        <f t="shared" si="0"/>
        <v>0</v>
      </c>
    </row>
    <row r="33" spans="32:60">
      <c r="AF33" s="86">
        <f>Dados!AI46</f>
        <v>0</v>
      </c>
      <c r="AG33" s="80">
        <f>Dados!AJ46</f>
        <v>0</v>
      </c>
      <c r="AH33" s="80">
        <f>Dados!AK46</f>
        <v>0</v>
      </c>
      <c r="AI33" s="80">
        <f>Dados!AL46</f>
        <v>0</v>
      </c>
      <c r="AJ33" s="80">
        <f>Dados!AM46</f>
        <v>0</v>
      </c>
      <c r="AK33" s="80">
        <f>Dados!AN46</f>
        <v>0</v>
      </c>
      <c r="AL33" s="80">
        <f>Dados!AO46</f>
        <v>0</v>
      </c>
      <c r="AM33" s="80">
        <f>Dados!AP46</f>
        <v>0</v>
      </c>
      <c r="AN33" s="80">
        <f>Dados!AQ46</f>
        <v>0</v>
      </c>
      <c r="AO33" s="80">
        <f>Dados!AR46</f>
        <v>0</v>
      </c>
      <c r="AP33" s="80">
        <f>Dados!AS46</f>
        <v>0</v>
      </c>
      <c r="AQ33" s="80">
        <f>Dados!AT46</f>
        <v>0</v>
      </c>
      <c r="AR33" s="80">
        <f>Dados!AU46</f>
        <v>0</v>
      </c>
      <c r="AS33" s="80">
        <f>Dados!AV46</f>
        <v>0</v>
      </c>
      <c r="AT33" s="80">
        <f>Dados!AW46</f>
        <v>0</v>
      </c>
      <c r="AU33" s="80">
        <f>Dados!AX46</f>
        <v>0</v>
      </c>
      <c r="AV33" s="80">
        <f>Dados!AY46</f>
        <v>0</v>
      </c>
      <c r="AW33" s="80">
        <f>Dados!AZ46</f>
        <v>0</v>
      </c>
      <c r="AX33" s="80">
        <f>Dados!BA46</f>
        <v>0</v>
      </c>
      <c r="AY33" s="80">
        <f>Dados!BB46</f>
        <v>0</v>
      </c>
      <c r="AZ33" s="80">
        <f>Dados!BC46</f>
        <v>0</v>
      </c>
      <c r="BA33" s="80">
        <f>Dados!BD46</f>
        <v>0</v>
      </c>
      <c r="BB33" s="80">
        <f>Dados!BE46</f>
        <v>0</v>
      </c>
      <c r="BC33" s="80">
        <f>Dados!BF46</f>
        <v>0</v>
      </c>
      <c r="BD33" s="80">
        <f>Dados!BG46</f>
        <v>0</v>
      </c>
      <c r="BE33" s="80">
        <f>Dados!BH46</f>
        <v>0</v>
      </c>
      <c r="BF33" s="80">
        <f>Dados!BI46</f>
        <v>0</v>
      </c>
      <c r="BG33" s="81">
        <f>Dados!BJ46</f>
        <v>0</v>
      </c>
      <c r="BH33" s="48">
        <f t="shared" si="0"/>
        <v>0</v>
      </c>
    </row>
    <row r="34" spans="32:60" ht="15.75">
      <c r="AF34" s="55" t="s">
        <v>82</v>
      </c>
      <c r="AG34" s="56">
        <f>SUM(AG22:AG27)</f>
        <v>0</v>
      </c>
      <c r="AH34" s="56">
        <f t="shared" ref="AH34:BG34" si="1">SUM(AH22:AH27)</f>
        <v>0</v>
      </c>
      <c r="AI34" s="56">
        <f t="shared" si="1"/>
        <v>0</v>
      </c>
      <c r="AJ34" s="56">
        <f t="shared" si="1"/>
        <v>0</v>
      </c>
      <c r="AK34" s="56">
        <f t="shared" si="1"/>
        <v>0</v>
      </c>
      <c r="AL34" s="56">
        <f t="shared" si="1"/>
        <v>0</v>
      </c>
      <c r="AM34" s="56">
        <f t="shared" si="1"/>
        <v>0</v>
      </c>
      <c r="AN34" s="56">
        <f t="shared" si="1"/>
        <v>0</v>
      </c>
      <c r="AO34" s="56">
        <f t="shared" si="1"/>
        <v>0</v>
      </c>
      <c r="AP34" s="56">
        <f t="shared" si="1"/>
        <v>0</v>
      </c>
      <c r="AQ34" s="56">
        <f t="shared" si="1"/>
        <v>0</v>
      </c>
      <c r="AR34" s="56">
        <f t="shared" si="1"/>
        <v>0</v>
      </c>
      <c r="AS34" s="56">
        <f t="shared" si="1"/>
        <v>0</v>
      </c>
      <c r="AT34" s="56">
        <f t="shared" si="1"/>
        <v>0</v>
      </c>
      <c r="AU34" s="56">
        <f t="shared" si="1"/>
        <v>0</v>
      </c>
      <c r="AV34" s="56">
        <f t="shared" si="1"/>
        <v>0</v>
      </c>
      <c r="AW34" s="56">
        <f t="shared" si="1"/>
        <v>0</v>
      </c>
      <c r="AX34" s="56">
        <f t="shared" si="1"/>
        <v>0</v>
      </c>
      <c r="AY34" s="56">
        <f t="shared" si="1"/>
        <v>0</v>
      </c>
      <c r="AZ34" s="56">
        <f t="shared" si="1"/>
        <v>0</v>
      </c>
      <c r="BA34" s="56">
        <f t="shared" si="1"/>
        <v>0</v>
      </c>
      <c r="BB34" s="56">
        <f t="shared" si="1"/>
        <v>0</v>
      </c>
      <c r="BC34" s="56">
        <f t="shared" si="1"/>
        <v>0</v>
      </c>
      <c r="BD34" s="56">
        <f t="shared" si="1"/>
        <v>0</v>
      </c>
      <c r="BE34" s="56">
        <f t="shared" si="1"/>
        <v>0</v>
      </c>
      <c r="BF34" s="56">
        <f t="shared" si="1"/>
        <v>0</v>
      </c>
      <c r="BG34" s="56">
        <f t="shared" si="1"/>
        <v>0</v>
      </c>
      <c r="BH34" s="57">
        <f>SUM(BH22:BH27)</f>
        <v>0</v>
      </c>
    </row>
    <row r="35" spans="32:60" ht="15.75">
      <c r="AF35" s="55" t="s">
        <v>83</v>
      </c>
      <c r="AG35" s="56">
        <f>SUM(AG28:AG33)</f>
        <v>0</v>
      </c>
      <c r="AH35" s="56">
        <f t="shared" ref="AH35:BG35" si="2">SUM(AH28:AH33)</f>
        <v>0</v>
      </c>
      <c r="AI35" s="56">
        <f t="shared" si="2"/>
        <v>0</v>
      </c>
      <c r="AJ35" s="56">
        <f t="shared" si="2"/>
        <v>0</v>
      </c>
      <c r="AK35" s="56">
        <f t="shared" si="2"/>
        <v>0</v>
      </c>
      <c r="AL35" s="56">
        <f t="shared" si="2"/>
        <v>0</v>
      </c>
      <c r="AM35" s="56">
        <f t="shared" si="2"/>
        <v>0</v>
      </c>
      <c r="AN35" s="56">
        <f t="shared" si="2"/>
        <v>0</v>
      </c>
      <c r="AO35" s="56">
        <f t="shared" si="2"/>
        <v>0</v>
      </c>
      <c r="AP35" s="56">
        <f t="shared" si="2"/>
        <v>0</v>
      </c>
      <c r="AQ35" s="56">
        <f t="shared" si="2"/>
        <v>0</v>
      </c>
      <c r="AR35" s="56">
        <f t="shared" si="2"/>
        <v>0</v>
      </c>
      <c r="AS35" s="56">
        <f t="shared" si="2"/>
        <v>0</v>
      </c>
      <c r="AT35" s="56">
        <f t="shared" si="2"/>
        <v>0</v>
      </c>
      <c r="AU35" s="56">
        <f t="shared" si="2"/>
        <v>0</v>
      </c>
      <c r="AV35" s="56">
        <f t="shared" si="2"/>
        <v>0</v>
      </c>
      <c r="AW35" s="56">
        <f t="shared" si="2"/>
        <v>0</v>
      </c>
      <c r="AX35" s="56">
        <f t="shared" si="2"/>
        <v>0</v>
      </c>
      <c r="AY35" s="56">
        <f t="shared" si="2"/>
        <v>0</v>
      </c>
      <c r="AZ35" s="56">
        <f t="shared" si="2"/>
        <v>0</v>
      </c>
      <c r="BA35" s="56">
        <f t="shared" si="2"/>
        <v>0</v>
      </c>
      <c r="BB35" s="56">
        <f t="shared" si="2"/>
        <v>0</v>
      </c>
      <c r="BC35" s="56">
        <f t="shared" si="2"/>
        <v>0</v>
      </c>
      <c r="BD35" s="56">
        <f t="shared" si="2"/>
        <v>0</v>
      </c>
      <c r="BE35" s="56">
        <f t="shared" si="2"/>
        <v>0</v>
      </c>
      <c r="BF35" s="56">
        <f t="shared" si="2"/>
        <v>0</v>
      </c>
      <c r="BG35" s="56">
        <f t="shared" si="2"/>
        <v>0</v>
      </c>
      <c r="BH35" s="57">
        <f>SUM(BH28:BH33)</f>
        <v>0</v>
      </c>
    </row>
    <row r="36" spans="32:60" ht="15.75">
      <c r="AF36" s="58" t="s">
        <v>84</v>
      </c>
      <c r="AG36" s="56">
        <f>AG34+AG35</f>
        <v>0</v>
      </c>
      <c r="AH36" s="56">
        <f t="shared" ref="AH36:BG36" si="3">AH34+AH35</f>
        <v>0</v>
      </c>
      <c r="AI36" s="56">
        <f t="shared" si="3"/>
        <v>0</v>
      </c>
      <c r="AJ36" s="56">
        <f t="shared" si="3"/>
        <v>0</v>
      </c>
      <c r="AK36" s="56">
        <f t="shared" si="3"/>
        <v>0</v>
      </c>
      <c r="AL36" s="56">
        <f t="shared" si="3"/>
        <v>0</v>
      </c>
      <c r="AM36" s="56">
        <f t="shared" si="3"/>
        <v>0</v>
      </c>
      <c r="AN36" s="56">
        <f t="shared" si="3"/>
        <v>0</v>
      </c>
      <c r="AO36" s="56">
        <f t="shared" si="3"/>
        <v>0</v>
      </c>
      <c r="AP36" s="56">
        <f t="shared" si="3"/>
        <v>0</v>
      </c>
      <c r="AQ36" s="56">
        <f t="shared" si="3"/>
        <v>0</v>
      </c>
      <c r="AR36" s="56">
        <f t="shared" si="3"/>
        <v>0</v>
      </c>
      <c r="AS36" s="56">
        <f t="shared" si="3"/>
        <v>0</v>
      </c>
      <c r="AT36" s="56">
        <f t="shared" si="3"/>
        <v>0</v>
      </c>
      <c r="AU36" s="56">
        <f t="shared" si="3"/>
        <v>0</v>
      </c>
      <c r="AV36" s="56">
        <f t="shared" si="3"/>
        <v>0</v>
      </c>
      <c r="AW36" s="56">
        <f t="shared" si="3"/>
        <v>0</v>
      </c>
      <c r="AX36" s="56">
        <f t="shared" si="3"/>
        <v>0</v>
      </c>
      <c r="AY36" s="56">
        <f t="shared" si="3"/>
        <v>0</v>
      </c>
      <c r="AZ36" s="56">
        <f t="shared" si="3"/>
        <v>0</v>
      </c>
      <c r="BA36" s="56">
        <f t="shared" si="3"/>
        <v>0</v>
      </c>
      <c r="BB36" s="56">
        <f t="shared" si="3"/>
        <v>0</v>
      </c>
      <c r="BC36" s="56">
        <f t="shared" si="3"/>
        <v>0</v>
      </c>
      <c r="BD36" s="56">
        <f t="shared" si="3"/>
        <v>0</v>
      </c>
      <c r="BE36" s="56">
        <f t="shared" si="3"/>
        <v>0</v>
      </c>
      <c r="BF36" s="56">
        <f t="shared" si="3"/>
        <v>0</v>
      </c>
      <c r="BG36" s="56">
        <f t="shared" si="3"/>
        <v>0</v>
      </c>
      <c r="BH36" s="53">
        <f>SUM(BH34:BH35)</f>
        <v>0</v>
      </c>
    </row>
  </sheetData>
  <mergeCells count="2">
    <mergeCell ref="AG20:AQ20"/>
    <mergeCell ref="BH20:BH21"/>
  </mergeCell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CA448"/>
  <sheetViews>
    <sheetView showGridLines="0" showRowColHeaders="0" workbookViewId="0"/>
  </sheetViews>
  <sheetFormatPr defaultRowHeight="15"/>
  <cols>
    <col min="1" max="1" width="15.140625" customWidth="1"/>
    <col min="2" max="6" width="14.7109375" customWidth="1"/>
    <col min="7" max="7" width="16.140625" customWidth="1"/>
    <col min="8" max="8" width="14.7109375" customWidth="1"/>
    <col min="9" max="9" width="15.7109375" customWidth="1"/>
    <col min="10" max="12" width="14.7109375" customWidth="1"/>
    <col min="13" max="13" width="15" customWidth="1"/>
    <col min="14" max="14" width="17" customWidth="1"/>
    <col min="15" max="18" width="14.7109375" customWidth="1"/>
    <col min="19" max="19" width="14.85546875" customWidth="1"/>
    <col min="20" max="20" width="16.28515625" customWidth="1"/>
    <col min="21" max="26" width="14.7109375" customWidth="1"/>
    <col min="27" max="27" width="15.28515625" customWidth="1"/>
    <col min="28" max="28" width="14.7109375" customWidth="1"/>
    <col min="29" max="29" width="14.85546875" customWidth="1"/>
    <col min="30" max="79" width="9.140625" style="39"/>
  </cols>
  <sheetData>
    <row r="1" spans="7:7" s="39" customFormat="1"/>
    <row r="2" spans="7:7" s="39" customFormat="1"/>
    <row r="3" spans="7:7" s="39" customFormat="1">
      <c r="G3" s="214">
        <f>AC54</f>
        <v>0</v>
      </c>
    </row>
    <row r="4" spans="7:7" s="39" customFormat="1">
      <c r="G4" s="215"/>
    </row>
    <row r="5" spans="7:7" s="39" customFormat="1"/>
    <row r="6" spans="7:7" s="39" customFormat="1"/>
    <row r="7" spans="7:7" s="39" customFormat="1"/>
    <row r="8" spans="7:7" s="39" customFormat="1"/>
    <row r="9" spans="7:7" s="39" customFormat="1"/>
    <row r="10" spans="7:7" s="39" customFormat="1"/>
    <row r="11" spans="7:7" s="39" customFormat="1"/>
    <row r="12" spans="7:7" s="39" customFormat="1"/>
    <row r="13" spans="7:7" s="39" customFormat="1"/>
    <row r="14" spans="7:7" s="39" customFormat="1"/>
    <row r="15" spans="7:7" s="39" customFormat="1"/>
    <row r="16" spans="7:7" s="39" customFormat="1"/>
    <row r="17" spans="1:1" s="39" customFormat="1"/>
    <row r="18" spans="1:1" s="39" customFormat="1"/>
    <row r="19" spans="1:1" s="39" customFormat="1"/>
    <row r="20" spans="1:1" s="39" customFormat="1"/>
    <row r="21" spans="1:1" s="39" customFormat="1"/>
    <row r="22" spans="1:1" s="39" customFormat="1"/>
    <row r="23" spans="1:1" s="39" customFormat="1"/>
    <row r="24" spans="1:1" s="39" customFormat="1"/>
    <row r="25" spans="1:1" s="39" customFormat="1"/>
    <row r="26" spans="1:1" s="39" customFormat="1"/>
    <row r="27" spans="1:1" s="39" customFormat="1"/>
    <row r="28" spans="1:1" s="39" customFormat="1"/>
    <row r="29" spans="1:1" s="39" customFormat="1"/>
    <row r="30" spans="1:1" s="39" customFormat="1"/>
    <row r="31" spans="1:1" s="39" customFormat="1"/>
    <row r="32" spans="1:1" s="39" customFormat="1">
      <c r="A32" s="213"/>
    </row>
    <row r="33" spans="1:29" s="39" customFormat="1">
      <c r="A33" s="213"/>
    </row>
    <row r="34" spans="1:29" s="39" customFormat="1">
      <c r="A34" s="213"/>
    </row>
    <row r="35" spans="1:29" s="39" customFormat="1" ht="15" customHeight="1">
      <c r="A35" s="213"/>
    </row>
    <row r="36" spans="1:29" s="39" customFormat="1" ht="15" customHeight="1"/>
    <row r="37" spans="1:29" ht="23.25">
      <c r="A37" s="39"/>
      <c r="B37" s="216" t="s">
        <v>80</v>
      </c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</row>
    <row r="38" spans="1:29" ht="21">
      <c r="A38" s="39"/>
      <c r="B38" s="217" t="s">
        <v>31</v>
      </c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44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6"/>
      <c r="AC38" s="219" t="s">
        <v>81</v>
      </c>
    </row>
    <row r="39" spans="1:29" ht="15" customHeight="1">
      <c r="A39" s="90" t="s">
        <v>99</v>
      </c>
      <c r="B39" s="91" t="s">
        <v>40</v>
      </c>
      <c r="C39" s="91" t="s">
        <v>89</v>
      </c>
      <c r="D39" s="91" t="s">
        <v>90</v>
      </c>
      <c r="E39" s="91" t="s">
        <v>91</v>
      </c>
      <c r="F39" s="91" t="s">
        <v>52</v>
      </c>
      <c r="G39" s="91" t="s">
        <v>92</v>
      </c>
      <c r="H39" s="91" t="s">
        <v>59</v>
      </c>
      <c r="I39" s="91" t="s">
        <v>62</v>
      </c>
      <c r="J39" s="91" t="s">
        <v>64</v>
      </c>
      <c r="K39" s="91" t="s">
        <v>65</v>
      </c>
      <c r="L39" s="91" t="s">
        <v>66</v>
      </c>
      <c r="M39" s="91" t="s">
        <v>67</v>
      </c>
      <c r="N39" s="91" t="s">
        <v>68</v>
      </c>
      <c r="O39" s="91" t="s">
        <v>43</v>
      </c>
      <c r="P39" s="91" t="s">
        <v>34</v>
      </c>
      <c r="Q39" s="91" t="s">
        <v>93</v>
      </c>
      <c r="R39" s="91" t="s">
        <v>72</v>
      </c>
      <c r="S39" s="91" t="s">
        <v>73</v>
      </c>
      <c r="T39" s="91" t="s">
        <v>94</v>
      </c>
      <c r="U39" s="91" t="s">
        <v>71</v>
      </c>
      <c r="V39" s="91" t="s">
        <v>56</v>
      </c>
      <c r="W39" s="91" t="s">
        <v>69</v>
      </c>
      <c r="X39" s="91" t="s">
        <v>75</v>
      </c>
      <c r="Y39" s="91" t="s">
        <v>76</v>
      </c>
      <c r="Z39" s="91" t="s">
        <v>77</v>
      </c>
      <c r="AA39" s="91" t="s">
        <v>78</v>
      </c>
      <c r="AB39" s="92" t="s">
        <v>79</v>
      </c>
      <c r="AC39" s="220"/>
    </row>
    <row r="40" spans="1:29">
      <c r="A40" s="85">
        <f>Dados!D5</f>
        <v>45658</v>
      </c>
      <c r="B40" s="47">
        <f>Dados!E5</f>
        <v>0</v>
      </c>
      <c r="C40" s="47">
        <f>Dados!F5</f>
        <v>0</v>
      </c>
      <c r="D40" s="47">
        <f>Dados!G5</f>
        <v>0</v>
      </c>
      <c r="E40" s="47">
        <f>Dados!H5</f>
        <v>0</v>
      </c>
      <c r="F40" s="47">
        <f>Dados!I5</f>
        <v>0</v>
      </c>
      <c r="G40" s="47">
        <f>Dados!J5</f>
        <v>0</v>
      </c>
      <c r="H40" s="47">
        <f>Dados!K5</f>
        <v>0</v>
      </c>
      <c r="I40" s="47">
        <f>Dados!L5</f>
        <v>0</v>
      </c>
      <c r="J40" s="47">
        <f>Dados!M5</f>
        <v>0</v>
      </c>
      <c r="K40" s="47">
        <f>Dados!N5</f>
        <v>0</v>
      </c>
      <c r="L40" s="47">
        <f>Dados!O5</f>
        <v>0</v>
      </c>
      <c r="M40" s="47">
        <f>Dados!P5</f>
        <v>0</v>
      </c>
      <c r="N40" s="47">
        <f>Dados!Q5</f>
        <v>0</v>
      </c>
      <c r="O40" s="47">
        <f>Dados!R5</f>
        <v>0</v>
      </c>
      <c r="P40" s="47">
        <f>Dados!S5</f>
        <v>0</v>
      </c>
      <c r="Q40" s="47">
        <f>Dados!T5</f>
        <v>0</v>
      </c>
      <c r="R40" s="47">
        <f>Dados!U5</f>
        <v>0</v>
      </c>
      <c r="S40" s="47">
        <f>Dados!V5</f>
        <v>0</v>
      </c>
      <c r="T40" s="47">
        <f>Dados!W5</f>
        <v>0</v>
      </c>
      <c r="U40" s="47">
        <f>Dados!X5</f>
        <v>0</v>
      </c>
      <c r="V40" s="47">
        <f>Dados!Y5</f>
        <v>0</v>
      </c>
      <c r="W40" s="47">
        <f>Dados!Z5</f>
        <v>0</v>
      </c>
      <c r="X40" s="47">
        <f>Dados!AA5</f>
        <v>0</v>
      </c>
      <c r="Y40" s="47">
        <f>Dados!AB5</f>
        <v>0</v>
      </c>
      <c r="Z40" s="47">
        <f>Dados!AC5</f>
        <v>0</v>
      </c>
      <c r="AA40" s="47">
        <f>Dados!AD5</f>
        <v>0</v>
      </c>
      <c r="AB40" s="79">
        <f>Dados!AE5</f>
        <v>0</v>
      </c>
      <c r="AC40" s="48">
        <f>SUM(B40:AB40)</f>
        <v>0</v>
      </c>
    </row>
    <row r="41" spans="1:29">
      <c r="A41" s="85">
        <f>Dados!D6</f>
        <v>45689</v>
      </c>
      <c r="B41" s="47">
        <f>Dados!E6</f>
        <v>0</v>
      </c>
      <c r="C41" s="47">
        <f>Dados!F6</f>
        <v>0</v>
      </c>
      <c r="D41" s="47">
        <f>Dados!G6</f>
        <v>0</v>
      </c>
      <c r="E41" s="47">
        <f>Dados!H6</f>
        <v>0</v>
      </c>
      <c r="F41" s="47">
        <f>Dados!I6</f>
        <v>0</v>
      </c>
      <c r="G41" s="47">
        <f>Dados!J6</f>
        <v>0</v>
      </c>
      <c r="H41" s="47">
        <f>Dados!K6</f>
        <v>0</v>
      </c>
      <c r="I41" s="47">
        <f>Dados!L6</f>
        <v>0</v>
      </c>
      <c r="J41" s="47">
        <f>Dados!M6</f>
        <v>0</v>
      </c>
      <c r="K41" s="47">
        <f>Dados!N6</f>
        <v>0</v>
      </c>
      <c r="L41" s="47">
        <f>Dados!O6</f>
        <v>0</v>
      </c>
      <c r="M41" s="47">
        <f>Dados!P6</f>
        <v>0</v>
      </c>
      <c r="N41" s="47">
        <f>Dados!Q6</f>
        <v>0</v>
      </c>
      <c r="O41" s="47">
        <f>Dados!R6</f>
        <v>0</v>
      </c>
      <c r="P41" s="47">
        <f>Dados!S6</f>
        <v>0</v>
      </c>
      <c r="Q41" s="47">
        <f>Dados!T6</f>
        <v>0</v>
      </c>
      <c r="R41" s="47">
        <f>Dados!U6</f>
        <v>0</v>
      </c>
      <c r="S41" s="47">
        <f>Dados!V6</f>
        <v>0</v>
      </c>
      <c r="T41" s="47">
        <f>Dados!W6</f>
        <v>0</v>
      </c>
      <c r="U41" s="47">
        <f>Dados!X6</f>
        <v>0</v>
      </c>
      <c r="V41" s="47">
        <f>Dados!Y6</f>
        <v>0</v>
      </c>
      <c r="W41" s="47">
        <f>Dados!Z6</f>
        <v>0</v>
      </c>
      <c r="X41" s="47">
        <f>Dados!AA6</f>
        <v>0</v>
      </c>
      <c r="Y41" s="47">
        <f>Dados!AB6</f>
        <v>0</v>
      </c>
      <c r="Z41" s="47">
        <f>Dados!AC6</f>
        <v>0</v>
      </c>
      <c r="AA41" s="47">
        <f>Dados!AD6</f>
        <v>0</v>
      </c>
      <c r="AB41" s="79">
        <f>Dados!AE6</f>
        <v>0</v>
      </c>
      <c r="AC41" s="48">
        <f t="shared" ref="AC41:AC51" si="0">SUM(B41:AB41)</f>
        <v>0</v>
      </c>
    </row>
    <row r="42" spans="1:29">
      <c r="A42" s="85">
        <f>Dados!D7</f>
        <v>45717</v>
      </c>
      <c r="B42" s="47">
        <f>Dados!E7</f>
        <v>0</v>
      </c>
      <c r="C42" s="47">
        <f>Dados!F7</f>
        <v>0</v>
      </c>
      <c r="D42" s="47">
        <f>Dados!G7</f>
        <v>0</v>
      </c>
      <c r="E42" s="47">
        <f>Dados!H7</f>
        <v>0</v>
      </c>
      <c r="F42" s="47">
        <f>Dados!I7</f>
        <v>0</v>
      </c>
      <c r="G42" s="47">
        <f>Dados!J7</f>
        <v>0</v>
      </c>
      <c r="H42" s="47">
        <f>Dados!K7</f>
        <v>0</v>
      </c>
      <c r="I42" s="47">
        <f>Dados!L7</f>
        <v>0</v>
      </c>
      <c r="J42" s="47">
        <f>Dados!M7</f>
        <v>0</v>
      </c>
      <c r="K42" s="47">
        <f>Dados!N7</f>
        <v>0</v>
      </c>
      <c r="L42" s="47">
        <f>Dados!O7</f>
        <v>0</v>
      </c>
      <c r="M42" s="47">
        <f>Dados!P7</f>
        <v>0</v>
      </c>
      <c r="N42" s="47">
        <f>Dados!Q7</f>
        <v>0</v>
      </c>
      <c r="O42" s="47">
        <f>Dados!R7</f>
        <v>0</v>
      </c>
      <c r="P42" s="47">
        <f>Dados!S7</f>
        <v>0</v>
      </c>
      <c r="Q42" s="47">
        <f>Dados!T7</f>
        <v>0</v>
      </c>
      <c r="R42" s="47">
        <f>Dados!U7</f>
        <v>0</v>
      </c>
      <c r="S42" s="47">
        <f>Dados!V7</f>
        <v>0</v>
      </c>
      <c r="T42" s="47">
        <f>Dados!W7</f>
        <v>0</v>
      </c>
      <c r="U42" s="47">
        <f>Dados!X7</f>
        <v>0</v>
      </c>
      <c r="V42" s="47">
        <f>Dados!Y7</f>
        <v>0</v>
      </c>
      <c r="W42" s="47">
        <f>Dados!Z7</f>
        <v>0</v>
      </c>
      <c r="X42" s="47">
        <f>Dados!AA7</f>
        <v>0</v>
      </c>
      <c r="Y42" s="47">
        <f>Dados!AB7</f>
        <v>0</v>
      </c>
      <c r="Z42" s="47">
        <f>Dados!AC7</f>
        <v>0</v>
      </c>
      <c r="AA42" s="47">
        <f>Dados!AD7</f>
        <v>0</v>
      </c>
      <c r="AB42" s="79">
        <f>Dados!AE7</f>
        <v>0</v>
      </c>
      <c r="AC42" s="48">
        <f t="shared" si="0"/>
        <v>0</v>
      </c>
    </row>
    <row r="43" spans="1:29">
      <c r="A43" s="85">
        <f>Dados!D8</f>
        <v>45748</v>
      </c>
      <c r="B43" s="47">
        <f>Dados!E8</f>
        <v>0</v>
      </c>
      <c r="C43" s="47">
        <f>Dados!F8</f>
        <v>0</v>
      </c>
      <c r="D43" s="47">
        <f>Dados!G8</f>
        <v>0</v>
      </c>
      <c r="E43" s="47">
        <f>Dados!H8</f>
        <v>0</v>
      </c>
      <c r="F43" s="47">
        <f>Dados!I8</f>
        <v>0</v>
      </c>
      <c r="G43" s="47">
        <f>Dados!J8</f>
        <v>0</v>
      </c>
      <c r="H43" s="47">
        <f>Dados!K8</f>
        <v>0</v>
      </c>
      <c r="I43" s="47">
        <f>Dados!L8</f>
        <v>0</v>
      </c>
      <c r="J43" s="47">
        <f>Dados!M8</f>
        <v>0</v>
      </c>
      <c r="K43" s="47">
        <f>Dados!N8</f>
        <v>0</v>
      </c>
      <c r="L43" s="47">
        <f>Dados!O8</f>
        <v>0</v>
      </c>
      <c r="M43" s="47">
        <f>Dados!P8</f>
        <v>0</v>
      </c>
      <c r="N43" s="47">
        <f>Dados!Q8</f>
        <v>0</v>
      </c>
      <c r="O43" s="47">
        <f>Dados!R8</f>
        <v>0</v>
      </c>
      <c r="P43" s="47">
        <f>Dados!S8</f>
        <v>0</v>
      </c>
      <c r="Q43" s="47">
        <f>Dados!T8</f>
        <v>0</v>
      </c>
      <c r="R43" s="47">
        <f>Dados!U8</f>
        <v>0</v>
      </c>
      <c r="S43" s="47">
        <f>Dados!V8</f>
        <v>0</v>
      </c>
      <c r="T43" s="47">
        <f>Dados!W8</f>
        <v>0</v>
      </c>
      <c r="U43" s="47">
        <f>Dados!X8</f>
        <v>0</v>
      </c>
      <c r="V43" s="47">
        <f>Dados!Y8</f>
        <v>0</v>
      </c>
      <c r="W43" s="47">
        <f>Dados!Z8</f>
        <v>0</v>
      </c>
      <c r="X43" s="47">
        <f>Dados!AA8</f>
        <v>0</v>
      </c>
      <c r="Y43" s="47">
        <f>Dados!AB8</f>
        <v>0</v>
      </c>
      <c r="Z43" s="47">
        <f>Dados!AC8</f>
        <v>0</v>
      </c>
      <c r="AA43" s="47">
        <f>Dados!AD8</f>
        <v>0</v>
      </c>
      <c r="AB43" s="79">
        <f>Dados!AE8</f>
        <v>0</v>
      </c>
      <c r="AC43" s="48">
        <f t="shared" si="0"/>
        <v>0</v>
      </c>
    </row>
    <row r="44" spans="1:29">
      <c r="A44" s="85">
        <f>Dados!D9</f>
        <v>45778</v>
      </c>
      <c r="B44" s="47">
        <f>Dados!E9</f>
        <v>0</v>
      </c>
      <c r="C44" s="47">
        <f>Dados!F9</f>
        <v>0</v>
      </c>
      <c r="D44" s="47">
        <f>Dados!G9</f>
        <v>0</v>
      </c>
      <c r="E44" s="47">
        <f>Dados!H9</f>
        <v>0</v>
      </c>
      <c r="F44" s="47">
        <f>Dados!I9</f>
        <v>0</v>
      </c>
      <c r="G44" s="47">
        <f>Dados!J9</f>
        <v>0</v>
      </c>
      <c r="H44" s="47">
        <f>Dados!K9</f>
        <v>0</v>
      </c>
      <c r="I44" s="47">
        <f>Dados!L9</f>
        <v>0</v>
      </c>
      <c r="J44" s="47">
        <f>Dados!M9</f>
        <v>0</v>
      </c>
      <c r="K44" s="47">
        <f>Dados!N9</f>
        <v>0</v>
      </c>
      <c r="L44" s="47">
        <f>Dados!O9</f>
        <v>0</v>
      </c>
      <c r="M44" s="47">
        <f>Dados!P9</f>
        <v>0</v>
      </c>
      <c r="N44" s="47">
        <f>Dados!Q9</f>
        <v>0</v>
      </c>
      <c r="O44" s="47">
        <f>Dados!R9</f>
        <v>0</v>
      </c>
      <c r="P44" s="47">
        <f>Dados!S9</f>
        <v>0</v>
      </c>
      <c r="Q44" s="47">
        <f>Dados!T9</f>
        <v>0</v>
      </c>
      <c r="R44" s="47">
        <f>Dados!U9</f>
        <v>0</v>
      </c>
      <c r="S44" s="47">
        <f>Dados!V9</f>
        <v>0</v>
      </c>
      <c r="T44" s="47">
        <f>Dados!W9</f>
        <v>0</v>
      </c>
      <c r="U44" s="47">
        <f>Dados!X9</f>
        <v>0</v>
      </c>
      <c r="V44" s="47">
        <f>Dados!Y9</f>
        <v>0</v>
      </c>
      <c r="W44" s="47">
        <f>Dados!Z9</f>
        <v>0</v>
      </c>
      <c r="X44" s="47">
        <f>Dados!AA9</f>
        <v>0</v>
      </c>
      <c r="Y44" s="47">
        <f>Dados!AB9</f>
        <v>0</v>
      </c>
      <c r="Z44" s="47">
        <f>Dados!AC9</f>
        <v>0</v>
      </c>
      <c r="AA44" s="47">
        <f>Dados!AD9</f>
        <v>0</v>
      </c>
      <c r="AB44" s="79">
        <f>Dados!AE9</f>
        <v>0</v>
      </c>
      <c r="AC44" s="48">
        <f t="shared" si="0"/>
        <v>0</v>
      </c>
    </row>
    <row r="45" spans="1:29">
      <c r="A45" s="85">
        <f>Dados!D10</f>
        <v>45809</v>
      </c>
      <c r="B45" s="47">
        <f>Dados!E10</f>
        <v>0</v>
      </c>
      <c r="C45" s="47">
        <f>Dados!F10</f>
        <v>0</v>
      </c>
      <c r="D45" s="47">
        <f>Dados!G10</f>
        <v>0</v>
      </c>
      <c r="E45" s="47">
        <f>Dados!H10</f>
        <v>0</v>
      </c>
      <c r="F45" s="47">
        <f>Dados!I10</f>
        <v>0</v>
      </c>
      <c r="G45" s="47">
        <f>Dados!J10</f>
        <v>0</v>
      </c>
      <c r="H45" s="47">
        <f>Dados!K10</f>
        <v>0</v>
      </c>
      <c r="I45" s="47">
        <f>Dados!L10</f>
        <v>0</v>
      </c>
      <c r="J45" s="47">
        <f>Dados!M10</f>
        <v>0</v>
      </c>
      <c r="K45" s="47">
        <f>Dados!N10</f>
        <v>0</v>
      </c>
      <c r="L45" s="47">
        <f>Dados!O10</f>
        <v>0</v>
      </c>
      <c r="M45" s="47">
        <f>Dados!P10</f>
        <v>0</v>
      </c>
      <c r="N45" s="47">
        <f>Dados!Q10</f>
        <v>0</v>
      </c>
      <c r="O45" s="47">
        <f>Dados!R10</f>
        <v>0</v>
      </c>
      <c r="P45" s="47">
        <f>Dados!S10</f>
        <v>0</v>
      </c>
      <c r="Q45" s="47">
        <f>Dados!T10</f>
        <v>0</v>
      </c>
      <c r="R45" s="47">
        <f>Dados!U10</f>
        <v>0</v>
      </c>
      <c r="S45" s="47">
        <f>Dados!V10</f>
        <v>0</v>
      </c>
      <c r="T45" s="47">
        <f>Dados!W10</f>
        <v>0</v>
      </c>
      <c r="U45" s="47">
        <f>Dados!X10</f>
        <v>0</v>
      </c>
      <c r="V45" s="47">
        <f>Dados!Y10</f>
        <v>0</v>
      </c>
      <c r="W45" s="47">
        <f>Dados!Z10</f>
        <v>0</v>
      </c>
      <c r="X45" s="47">
        <f>Dados!AA10</f>
        <v>0</v>
      </c>
      <c r="Y45" s="47">
        <f>Dados!AB10</f>
        <v>0</v>
      </c>
      <c r="Z45" s="47">
        <f>Dados!AC10</f>
        <v>0</v>
      </c>
      <c r="AA45" s="47">
        <f>Dados!AD10</f>
        <v>0</v>
      </c>
      <c r="AB45" s="79">
        <f>Dados!AE10</f>
        <v>0</v>
      </c>
      <c r="AC45" s="48">
        <f t="shared" si="0"/>
        <v>0</v>
      </c>
    </row>
    <row r="46" spans="1:29">
      <c r="A46" s="85">
        <f>Dados!D11</f>
        <v>45839</v>
      </c>
      <c r="B46" s="47">
        <f>Dados!E11</f>
        <v>0</v>
      </c>
      <c r="C46" s="47">
        <f>Dados!F11</f>
        <v>0</v>
      </c>
      <c r="D46" s="47">
        <f>Dados!G11</f>
        <v>0</v>
      </c>
      <c r="E46" s="47">
        <f>Dados!H11</f>
        <v>0</v>
      </c>
      <c r="F46" s="47">
        <f>Dados!I11</f>
        <v>0</v>
      </c>
      <c r="G46" s="47">
        <f>Dados!J11</f>
        <v>0</v>
      </c>
      <c r="H46" s="47">
        <f>Dados!K11</f>
        <v>0</v>
      </c>
      <c r="I46" s="47">
        <f>Dados!L11</f>
        <v>0</v>
      </c>
      <c r="J46" s="47">
        <f>Dados!M11</f>
        <v>0</v>
      </c>
      <c r="K46" s="47">
        <f>Dados!N11</f>
        <v>0</v>
      </c>
      <c r="L46" s="47">
        <f>Dados!O11</f>
        <v>0</v>
      </c>
      <c r="M46" s="47">
        <f>Dados!P11</f>
        <v>0</v>
      </c>
      <c r="N46" s="47">
        <f>Dados!Q11</f>
        <v>0</v>
      </c>
      <c r="O46" s="47">
        <f>Dados!R11</f>
        <v>0</v>
      </c>
      <c r="P46" s="47">
        <f>Dados!S11</f>
        <v>0</v>
      </c>
      <c r="Q46" s="47">
        <f>Dados!T11</f>
        <v>0</v>
      </c>
      <c r="R46" s="47">
        <f>Dados!U11</f>
        <v>0</v>
      </c>
      <c r="S46" s="47">
        <f>Dados!V11</f>
        <v>0</v>
      </c>
      <c r="T46" s="47">
        <f>Dados!W11</f>
        <v>0</v>
      </c>
      <c r="U46" s="47">
        <f>Dados!X11</f>
        <v>0</v>
      </c>
      <c r="V46" s="47">
        <f>Dados!Y11</f>
        <v>0</v>
      </c>
      <c r="W46" s="47">
        <f>Dados!Z11</f>
        <v>0</v>
      </c>
      <c r="X46" s="47">
        <f>Dados!AA11</f>
        <v>0</v>
      </c>
      <c r="Y46" s="47">
        <f>Dados!AB11</f>
        <v>0</v>
      </c>
      <c r="Z46" s="47">
        <f>Dados!AC11</f>
        <v>0</v>
      </c>
      <c r="AA46" s="47">
        <f>Dados!AD11</f>
        <v>0</v>
      </c>
      <c r="AB46" s="79">
        <f>Dados!AE11</f>
        <v>0</v>
      </c>
      <c r="AC46" s="48">
        <f t="shared" si="0"/>
        <v>0</v>
      </c>
    </row>
    <row r="47" spans="1:29">
      <c r="A47" s="85">
        <f>Dados!D12</f>
        <v>45870</v>
      </c>
      <c r="B47" s="47">
        <f>Dados!E12</f>
        <v>0</v>
      </c>
      <c r="C47" s="47"/>
      <c r="D47" s="47">
        <f>Dados!G12</f>
        <v>0</v>
      </c>
      <c r="E47" s="47">
        <f>Dados!H12</f>
        <v>0</v>
      </c>
      <c r="F47" s="47">
        <f>Dados!I12</f>
        <v>0</v>
      </c>
      <c r="G47" s="47">
        <f>Dados!J12</f>
        <v>0</v>
      </c>
      <c r="H47" s="47">
        <f>Dados!K12</f>
        <v>0</v>
      </c>
      <c r="I47" s="47">
        <f>Dados!L12</f>
        <v>0</v>
      </c>
      <c r="J47" s="47">
        <f>Dados!M12</f>
        <v>0</v>
      </c>
      <c r="K47" s="47">
        <f>Dados!N12</f>
        <v>0</v>
      </c>
      <c r="L47" s="47">
        <f>Dados!O12</f>
        <v>0</v>
      </c>
      <c r="M47" s="47">
        <f>Dados!P12</f>
        <v>0</v>
      </c>
      <c r="N47" s="47">
        <f>Dados!Q12</f>
        <v>0</v>
      </c>
      <c r="O47" s="47">
        <f>Dados!R12</f>
        <v>0</v>
      </c>
      <c r="P47" s="47">
        <f>Dados!S12</f>
        <v>0</v>
      </c>
      <c r="Q47" s="47">
        <f>Dados!T12</f>
        <v>0</v>
      </c>
      <c r="R47" s="47">
        <f>Dados!U12</f>
        <v>0</v>
      </c>
      <c r="S47" s="47">
        <f>Dados!V12</f>
        <v>0</v>
      </c>
      <c r="T47" s="47">
        <f>Dados!W12</f>
        <v>0</v>
      </c>
      <c r="U47" s="47">
        <f>Dados!X12</f>
        <v>0</v>
      </c>
      <c r="V47" s="47">
        <f>Dados!Y12</f>
        <v>0</v>
      </c>
      <c r="W47" s="47">
        <f>Dados!Z12</f>
        <v>0</v>
      </c>
      <c r="X47" s="47">
        <f>Dados!AA12</f>
        <v>0</v>
      </c>
      <c r="Y47" s="47">
        <f>Dados!AB12</f>
        <v>0</v>
      </c>
      <c r="Z47" s="47">
        <f>Dados!AC12</f>
        <v>0</v>
      </c>
      <c r="AA47" s="47">
        <f>Dados!AD12</f>
        <v>0</v>
      </c>
      <c r="AB47" s="79">
        <f>Dados!AE12</f>
        <v>0</v>
      </c>
      <c r="AC47" s="48">
        <f t="shared" si="0"/>
        <v>0</v>
      </c>
    </row>
    <row r="48" spans="1:29">
      <c r="A48" s="85">
        <f>Dados!D13</f>
        <v>45901</v>
      </c>
      <c r="B48" s="47">
        <f>Dados!E13</f>
        <v>0</v>
      </c>
      <c r="C48" s="47">
        <f>Dados!F13</f>
        <v>0</v>
      </c>
      <c r="D48" s="47">
        <f>Dados!G13</f>
        <v>0</v>
      </c>
      <c r="E48" s="47">
        <f>Dados!H13</f>
        <v>0</v>
      </c>
      <c r="F48" s="47">
        <f>Dados!I13</f>
        <v>0</v>
      </c>
      <c r="G48" s="47">
        <f>Dados!J13</f>
        <v>0</v>
      </c>
      <c r="H48" s="47">
        <f>Dados!K13</f>
        <v>0</v>
      </c>
      <c r="I48" s="47">
        <f>Dados!L13</f>
        <v>0</v>
      </c>
      <c r="J48" s="47">
        <f>Dados!M13</f>
        <v>0</v>
      </c>
      <c r="K48" s="47">
        <f>Dados!N13</f>
        <v>0</v>
      </c>
      <c r="L48" s="47">
        <f>Dados!O13</f>
        <v>0</v>
      </c>
      <c r="M48" s="47">
        <f>Dados!P13</f>
        <v>0</v>
      </c>
      <c r="N48" s="47">
        <f>Dados!Q13</f>
        <v>0</v>
      </c>
      <c r="O48" s="47">
        <f>Dados!R13</f>
        <v>0</v>
      </c>
      <c r="P48" s="47">
        <f>Dados!S13</f>
        <v>0</v>
      </c>
      <c r="Q48" s="47">
        <f>Dados!T13</f>
        <v>0</v>
      </c>
      <c r="R48" s="47">
        <f>Dados!U13</f>
        <v>0</v>
      </c>
      <c r="S48" s="47">
        <f>Dados!V13</f>
        <v>0</v>
      </c>
      <c r="T48" s="47">
        <f>Dados!W13</f>
        <v>0</v>
      </c>
      <c r="U48" s="47">
        <f>Dados!X13</f>
        <v>0</v>
      </c>
      <c r="V48" s="47">
        <f>Dados!Y13</f>
        <v>0</v>
      </c>
      <c r="W48" s="47">
        <f>Dados!Z13</f>
        <v>0</v>
      </c>
      <c r="X48" s="47">
        <f>Dados!AA13</f>
        <v>0</v>
      </c>
      <c r="Y48" s="47">
        <f>Dados!AB13</f>
        <v>0</v>
      </c>
      <c r="Z48" s="47">
        <f>Dados!AC13</f>
        <v>0</v>
      </c>
      <c r="AA48" s="47">
        <f>Dados!AD13</f>
        <v>0</v>
      </c>
      <c r="AB48" s="79">
        <f>Dados!AE13</f>
        <v>0</v>
      </c>
      <c r="AC48" s="48">
        <f t="shared" si="0"/>
        <v>0</v>
      </c>
    </row>
    <row r="49" spans="1:29">
      <c r="A49" s="85">
        <f>Dados!D14</f>
        <v>45931</v>
      </c>
      <c r="B49" s="47">
        <f>Dados!E14</f>
        <v>0</v>
      </c>
      <c r="C49" s="47">
        <f>Dados!F14</f>
        <v>0</v>
      </c>
      <c r="D49" s="47">
        <f>Dados!G14</f>
        <v>0</v>
      </c>
      <c r="E49" s="47">
        <f>Dados!H14</f>
        <v>0</v>
      </c>
      <c r="F49" s="47">
        <f>Dados!I14</f>
        <v>0</v>
      </c>
      <c r="G49" s="47">
        <f>Dados!J14</f>
        <v>0</v>
      </c>
      <c r="H49" s="47">
        <f>Dados!K14</f>
        <v>0</v>
      </c>
      <c r="I49" s="47">
        <f>Dados!L14</f>
        <v>0</v>
      </c>
      <c r="J49" s="47">
        <f>Dados!M14</f>
        <v>0</v>
      </c>
      <c r="K49" s="47">
        <f>Dados!N14</f>
        <v>0</v>
      </c>
      <c r="L49" s="47">
        <f>Dados!O14</f>
        <v>0</v>
      </c>
      <c r="M49" s="47">
        <f>Dados!P14</f>
        <v>0</v>
      </c>
      <c r="N49" s="47">
        <f>Dados!Q14</f>
        <v>0</v>
      </c>
      <c r="O49" s="47">
        <f>Dados!R14</f>
        <v>0</v>
      </c>
      <c r="P49" s="47">
        <f>Dados!S14</f>
        <v>0</v>
      </c>
      <c r="Q49" s="47">
        <f>Dados!T14</f>
        <v>0</v>
      </c>
      <c r="R49" s="47">
        <f>Dados!U14</f>
        <v>0</v>
      </c>
      <c r="S49" s="47">
        <f>Dados!V14</f>
        <v>0</v>
      </c>
      <c r="T49" s="47">
        <f>Dados!W14</f>
        <v>0</v>
      </c>
      <c r="U49" s="47">
        <f>Dados!X14</f>
        <v>0</v>
      </c>
      <c r="V49" s="47">
        <f>Dados!Y14</f>
        <v>0</v>
      </c>
      <c r="W49" s="47">
        <f>Dados!Z14</f>
        <v>0</v>
      </c>
      <c r="X49" s="47">
        <f>Dados!AA14</f>
        <v>0</v>
      </c>
      <c r="Y49" s="47">
        <f>Dados!AB14</f>
        <v>0</v>
      </c>
      <c r="Z49" s="47">
        <f>Dados!AC14</f>
        <v>0</v>
      </c>
      <c r="AA49" s="47">
        <f>Dados!AD14</f>
        <v>0</v>
      </c>
      <c r="AB49" s="79">
        <f>Dados!AE14</f>
        <v>0</v>
      </c>
      <c r="AC49" s="48">
        <f t="shared" si="0"/>
        <v>0</v>
      </c>
    </row>
    <row r="50" spans="1:29">
      <c r="A50" s="85">
        <f>Dados!D15</f>
        <v>45962</v>
      </c>
      <c r="B50" s="47">
        <f>Dados!E15</f>
        <v>0</v>
      </c>
      <c r="C50" s="47">
        <f>Dados!F15</f>
        <v>0</v>
      </c>
      <c r="D50" s="47">
        <f>Dados!G15</f>
        <v>0</v>
      </c>
      <c r="E50" s="47">
        <f>Dados!H15</f>
        <v>0</v>
      </c>
      <c r="F50" s="47">
        <f>Dados!I15</f>
        <v>0</v>
      </c>
      <c r="G50" s="47">
        <f>Dados!J15</f>
        <v>0</v>
      </c>
      <c r="H50" s="47">
        <f>Dados!K15</f>
        <v>0</v>
      </c>
      <c r="I50" s="47">
        <f>Dados!L15</f>
        <v>0</v>
      </c>
      <c r="J50" s="47">
        <f>Dados!M15</f>
        <v>0</v>
      </c>
      <c r="K50" s="47">
        <f>Dados!N15</f>
        <v>0</v>
      </c>
      <c r="L50" s="47">
        <f>Dados!O15</f>
        <v>0</v>
      </c>
      <c r="M50" s="47">
        <f>Dados!P15</f>
        <v>0</v>
      </c>
      <c r="N50" s="47">
        <f>Dados!Q15</f>
        <v>0</v>
      </c>
      <c r="O50" s="47">
        <f>Dados!R15</f>
        <v>0</v>
      </c>
      <c r="P50" s="47">
        <f>Dados!S15</f>
        <v>0</v>
      </c>
      <c r="Q50" s="47">
        <f>Dados!T15</f>
        <v>0</v>
      </c>
      <c r="R50" s="47">
        <f>Dados!U15</f>
        <v>0</v>
      </c>
      <c r="S50" s="47">
        <f>Dados!V15</f>
        <v>0</v>
      </c>
      <c r="T50" s="47">
        <f>Dados!W15</f>
        <v>0</v>
      </c>
      <c r="U50" s="47">
        <f>Dados!X15</f>
        <v>0</v>
      </c>
      <c r="V50" s="47">
        <f>Dados!Y15</f>
        <v>0</v>
      </c>
      <c r="W50" s="47">
        <f>Dados!Z15</f>
        <v>0</v>
      </c>
      <c r="X50" s="47">
        <f>Dados!AA15</f>
        <v>0</v>
      </c>
      <c r="Y50" s="47">
        <f>Dados!AB15</f>
        <v>0</v>
      </c>
      <c r="Z50" s="47">
        <f>Dados!AC15</f>
        <v>0</v>
      </c>
      <c r="AA50" s="47">
        <f>Dados!AD15</f>
        <v>0</v>
      </c>
      <c r="AB50" s="79">
        <f>Dados!AE15</f>
        <v>0</v>
      </c>
      <c r="AC50" s="48">
        <f t="shared" si="0"/>
        <v>0</v>
      </c>
    </row>
    <row r="51" spans="1:29">
      <c r="A51" s="86">
        <f>Dados!D16</f>
        <v>45992</v>
      </c>
      <c r="B51" s="80">
        <f>Dados!E16</f>
        <v>0</v>
      </c>
      <c r="C51" s="80">
        <f>Dados!F16</f>
        <v>0</v>
      </c>
      <c r="D51" s="80">
        <f>Dados!G16</f>
        <v>0</v>
      </c>
      <c r="E51" s="80">
        <f>Dados!H16</f>
        <v>0</v>
      </c>
      <c r="F51" s="80">
        <f>Dados!I16</f>
        <v>0</v>
      </c>
      <c r="G51" s="80">
        <f>Dados!J16</f>
        <v>0</v>
      </c>
      <c r="H51" s="80">
        <f>Dados!K16</f>
        <v>0</v>
      </c>
      <c r="I51" s="80">
        <f>Dados!L16</f>
        <v>0</v>
      </c>
      <c r="J51" s="80">
        <f>Dados!M16</f>
        <v>0</v>
      </c>
      <c r="K51" s="80">
        <f>Dados!N16</f>
        <v>0</v>
      </c>
      <c r="L51" s="80">
        <f>Dados!O16</f>
        <v>0</v>
      </c>
      <c r="M51" s="80">
        <f>Dados!P16</f>
        <v>0</v>
      </c>
      <c r="N51" s="80">
        <f>Dados!Q16</f>
        <v>0</v>
      </c>
      <c r="O51" s="80">
        <f>Dados!R16</f>
        <v>0</v>
      </c>
      <c r="P51" s="80">
        <f>Dados!S16</f>
        <v>0</v>
      </c>
      <c r="Q51" s="80">
        <f>Dados!T16</f>
        <v>0</v>
      </c>
      <c r="R51" s="80">
        <f>Dados!U16</f>
        <v>0</v>
      </c>
      <c r="S51" s="80">
        <f>Dados!V16</f>
        <v>0</v>
      </c>
      <c r="T51" s="80">
        <f>Dados!W16</f>
        <v>0</v>
      </c>
      <c r="U51" s="80">
        <f>Dados!X16</f>
        <v>0</v>
      </c>
      <c r="V51" s="80">
        <f>Dados!Y16</f>
        <v>0</v>
      </c>
      <c r="W51" s="80">
        <f>Dados!Z16</f>
        <v>0</v>
      </c>
      <c r="X51" s="80">
        <f>Dados!AA16</f>
        <v>0</v>
      </c>
      <c r="Y51" s="80">
        <f>Dados!AB16</f>
        <v>0</v>
      </c>
      <c r="Z51" s="80">
        <f>Dados!AC16</f>
        <v>0</v>
      </c>
      <c r="AA51" s="80">
        <f>Dados!AD16</f>
        <v>0</v>
      </c>
      <c r="AB51" s="81">
        <f>Dados!AE16</f>
        <v>0</v>
      </c>
      <c r="AC51" s="48">
        <f t="shared" si="0"/>
        <v>0</v>
      </c>
    </row>
    <row r="52" spans="1:29" ht="15.75">
      <c r="A52" s="49" t="s">
        <v>82</v>
      </c>
      <c r="B52" s="50">
        <f>SUM(B40:B45)</f>
        <v>0</v>
      </c>
      <c r="C52" s="50">
        <f>SUM(C40:C45)</f>
        <v>0</v>
      </c>
      <c r="D52" s="50">
        <f t="shared" ref="D52:AB52" si="1">SUM(D40:D45)</f>
        <v>0</v>
      </c>
      <c r="E52" s="50">
        <f t="shared" si="1"/>
        <v>0</v>
      </c>
      <c r="F52" s="50">
        <f t="shared" si="1"/>
        <v>0</v>
      </c>
      <c r="G52" s="50">
        <f t="shared" si="1"/>
        <v>0</v>
      </c>
      <c r="H52" s="50">
        <f t="shared" si="1"/>
        <v>0</v>
      </c>
      <c r="I52" s="50">
        <f t="shared" si="1"/>
        <v>0</v>
      </c>
      <c r="J52" s="50">
        <f t="shared" si="1"/>
        <v>0</v>
      </c>
      <c r="K52" s="50">
        <f t="shared" si="1"/>
        <v>0</v>
      </c>
      <c r="L52" s="50">
        <f t="shared" si="1"/>
        <v>0</v>
      </c>
      <c r="M52" s="50">
        <f t="shared" si="1"/>
        <v>0</v>
      </c>
      <c r="N52" s="50">
        <f t="shared" si="1"/>
        <v>0</v>
      </c>
      <c r="O52" s="50">
        <f t="shared" si="1"/>
        <v>0</v>
      </c>
      <c r="P52" s="50">
        <f t="shared" si="1"/>
        <v>0</v>
      </c>
      <c r="Q52" s="50">
        <f t="shared" si="1"/>
        <v>0</v>
      </c>
      <c r="R52" s="50">
        <f t="shared" si="1"/>
        <v>0</v>
      </c>
      <c r="S52" s="50">
        <f t="shared" si="1"/>
        <v>0</v>
      </c>
      <c r="T52" s="50">
        <f t="shared" si="1"/>
        <v>0</v>
      </c>
      <c r="U52" s="50">
        <f t="shared" si="1"/>
        <v>0</v>
      </c>
      <c r="V52" s="50">
        <f t="shared" si="1"/>
        <v>0</v>
      </c>
      <c r="W52" s="50">
        <f t="shared" si="1"/>
        <v>0</v>
      </c>
      <c r="X52" s="50">
        <f t="shared" si="1"/>
        <v>0</v>
      </c>
      <c r="Y52" s="50">
        <f t="shared" si="1"/>
        <v>0</v>
      </c>
      <c r="Z52" s="50">
        <f t="shared" si="1"/>
        <v>0</v>
      </c>
      <c r="AA52" s="50">
        <f t="shared" si="1"/>
        <v>0</v>
      </c>
      <c r="AB52" s="50">
        <f t="shared" si="1"/>
        <v>0</v>
      </c>
      <c r="AC52" s="51">
        <f>SUM(B52:AB52)</f>
        <v>0</v>
      </c>
    </row>
    <row r="53" spans="1:29" ht="15.75">
      <c r="A53" s="49" t="s">
        <v>83</v>
      </c>
      <c r="B53" s="50">
        <f>SUM(B46:B51)</f>
        <v>0</v>
      </c>
      <c r="C53" s="50">
        <f t="shared" ref="C53:AB53" si="2">SUM(C46:C51)</f>
        <v>0</v>
      </c>
      <c r="D53" s="50">
        <f t="shared" si="2"/>
        <v>0</v>
      </c>
      <c r="E53" s="50">
        <f t="shared" si="2"/>
        <v>0</v>
      </c>
      <c r="F53" s="50">
        <f t="shared" si="2"/>
        <v>0</v>
      </c>
      <c r="G53" s="50">
        <f t="shared" si="2"/>
        <v>0</v>
      </c>
      <c r="H53" s="50">
        <f t="shared" si="2"/>
        <v>0</v>
      </c>
      <c r="I53" s="50">
        <f t="shared" si="2"/>
        <v>0</v>
      </c>
      <c r="J53" s="50">
        <f t="shared" si="2"/>
        <v>0</v>
      </c>
      <c r="K53" s="50">
        <f t="shared" si="2"/>
        <v>0</v>
      </c>
      <c r="L53" s="50">
        <f t="shared" si="2"/>
        <v>0</v>
      </c>
      <c r="M53" s="50">
        <f t="shared" si="2"/>
        <v>0</v>
      </c>
      <c r="N53" s="50">
        <f t="shared" si="2"/>
        <v>0</v>
      </c>
      <c r="O53" s="50">
        <f t="shared" si="2"/>
        <v>0</v>
      </c>
      <c r="P53" s="50">
        <f t="shared" si="2"/>
        <v>0</v>
      </c>
      <c r="Q53" s="50">
        <f t="shared" si="2"/>
        <v>0</v>
      </c>
      <c r="R53" s="50">
        <f t="shared" si="2"/>
        <v>0</v>
      </c>
      <c r="S53" s="50">
        <f t="shared" si="2"/>
        <v>0</v>
      </c>
      <c r="T53" s="50">
        <f t="shared" si="2"/>
        <v>0</v>
      </c>
      <c r="U53" s="50">
        <f t="shared" si="2"/>
        <v>0</v>
      </c>
      <c r="V53" s="50">
        <f t="shared" si="2"/>
        <v>0</v>
      </c>
      <c r="W53" s="50">
        <f t="shared" si="2"/>
        <v>0</v>
      </c>
      <c r="X53" s="50">
        <f t="shared" si="2"/>
        <v>0</v>
      </c>
      <c r="Y53" s="50">
        <f t="shared" si="2"/>
        <v>0</v>
      </c>
      <c r="Z53" s="50">
        <f t="shared" si="2"/>
        <v>0</v>
      </c>
      <c r="AA53" s="50">
        <f t="shared" si="2"/>
        <v>0</v>
      </c>
      <c r="AB53" s="50">
        <f t="shared" si="2"/>
        <v>0</v>
      </c>
      <c r="AC53" s="51">
        <f>SUM(B53:AB53)</f>
        <v>0</v>
      </c>
    </row>
    <row r="54" spans="1:29" ht="15.75">
      <c r="A54" s="52" t="s">
        <v>84</v>
      </c>
      <c r="B54" s="50">
        <f>SUM(B52:B53)</f>
        <v>0</v>
      </c>
      <c r="C54" s="50">
        <f t="shared" ref="C54:AB54" si="3">SUM(C52:C53)</f>
        <v>0</v>
      </c>
      <c r="D54" s="50">
        <f t="shared" si="3"/>
        <v>0</v>
      </c>
      <c r="E54" s="50">
        <f t="shared" si="3"/>
        <v>0</v>
      </c>
      <c r="F54" s="50">
        <f t="shared" si="3"/>
        <v>0</v>
      </c>
      <c r="G54" s="50">
        <f t="shared" si="3"/>
        <v>0</v>
      </c>
      <c r="H54" s="50">
        <f t="shared" si="3"/>
        <v>0</v>
      </c>
      <c r="I54" s="50">
        <f t="shared" si="3"/>
        <v>0</v>
      </c>
      <c r="J54" s="50">
        <f t="shared" si="3"/>
        <v>0</v>
      </c>
      <c r="K54" s="50">
        <f t="shared" si="3"/>
        <v>0</v>
      </c>
      <c r="L54" s="50">
        <f t="shared" si="3"/>
        <v>0</v>
      </c>
      <c r="M54" s="50">
        <f t="shared" si="3"/>
        <v>0</v>
      </c>
      <c r="N54" s="50">
        <f t="shared" si="3"/>
        <v>0</v>
      </c>
      <c r="O54" s="50">
        <f t="shared" si="3"/>
        <v>0</v>
      </c>
      <c r="P54" s="50">
        <f t="shared" si="3"/>
        <v>0</v>
      </c>
      <c r="Q54" s="50">
        <f t="shared" si="3"/>
        <v>0</v>
      </c>
      <c r="R54" s="50">
        <f t="shared" si="3"/>
        <v>0</v>
      </c>
      <c r="S54" s="50">
        <f t="shared" si="3"/>
        <v>0</v>
      </c>
      <c r="T54" s="50">
        <f t="shared" si="3"/>
        <v>0</v>
      </c>
      <c r="U54" s="50">
        <f t="shared" si="3"/>
        <v>0</v>
      </c>
      <c r="V54" s="50">
        <f t="shared" si="3"/>
        <v>0</v>
      </c>
      <c r="W54" s="50">
        <f t="shared" si="3"/>
        <v>0</v>
      </c>
      <c r="X54" s="50">
        <f t="shared" si="3"/>
        <v>0</v>
      </c>
      <c r="Y54" s="50">
        <f t="shared" si="3"/>
        <v>0</v>
      </c>
      <c r="Z54" s="50">
        <f t="shared" si="3"/>
        <v>0</v>
      </c>
      <c r="AA54" s="50">
        <f t="shared" si="3"/>
        <v>0</v>
      </c>
      <c r="AB54" s="50">
        <f t="shared" si="3"/>
        <v>0</v>
      </c>
      <c r="AC54" s="53">
        <f>SUM(B54:AB54)</f>
        <v>0</v>
      </c>
    </row>
    <row r="55" spans="1:29" s="198" customFormat="1" ht="17.25" customHeight="1">
      <c r="B55" s="202">
        <v>1</v>
      </c>
      <c r="C55" s="202">
        <v>2</v>
      </c>
      <c r="D55" s="202">
        <v>3</v>
      </c>
      <c r="E55" s="202">
        <v>4</v>
      </c>
      <c r="F55" s="202">
        <v>5</v>
      </c>
      <c r="G55" s="202">
        <v>6</v>
      </c>
      <c r="H55" s="202">
        <v>7</v>
      </c>
      <c r="I55" s="202">
        <v>8</v>
      </c>
      <c r="J55" s="202">
        <v>9</v>
      </c>
      <c r="K55" s="202">
        <v>10</v>
      </c>
      <c r="L55" s="202">
        <v>11</v>
      </c>
      <c r="M55" s="202">
        <v>12</v>
      </c>
      <c r="N55" s="202">
        <v>13</v>
      </c>
      <c r="O55" s="202">
        <v>14</v>
      </c>
      <c r="P55" s="202">
        <v>15</v>
      </c>
      <c r="Q55" s="202">
        <v>16</v>
      </c>
      <c r="R55" s="202">
        <v>17</v>
      </c>
      <c r="S55" s="202">
        <v>18</v>
      </c>
      <c r="T55" s="202">
        <v>19</v>
      </c>
      <c r="U55" s="202">
        <v>20</v>
      </c>
      <c r="V55" s="202">
        <v>21</v>
      </c>
      <c r="W55" s="202">
        <v>22</v>
      </c>
      <c r="X55" s="202">
        <v>23</v>
      </c>
      <c r="Y55" s="202">
        <v>24</v>
      </c>
      <c r="Z55" s="202">
        <v>25</v>
      </c>
      <c r="AA55" s="202">
        <v>26</v>
      </c>
      <c r="AB55" s="202">
        <v>27</v>
      </c>
    </row>
    <row r="56" spans="1:29" s="39" customFormat="1"/>
    <row r="57" spans="1:29" s="39" customFormat="1"/>
    <row r="58" spans="1:29" s="39" customFormat="1"/>
    <row r="59" spans="1:29" s="39" customFormat="1"/>
    <row r="60" spans="1:29" s="39" customFormat="1"/>
    <row r="61" spans="1:29" s="39" customFormat="1"/>
    <row r="62" spans="1:29" s="39" customFormat="1"/>
    <row r="63" spans="1:29" s="39" customFormat="1"/>
    <row r="64" spans="1:29" s="39" customFormat="1"/>
    <row r="65" s="39" customFormat="1"/>
    <row r="66" s="39" customFormat="1"/>
    <row r="67" s="39" customFormat="1"/>
    <row r="68" s="39" customFormat="1"/>
    <row r="69" s="39" customFormat="1"/>
    <row r="70" s="39" customFormat="1"/>
    <row r="71" s="39" customFormat="1"/>
    <row r="72" s="39" customFormat="1"/>
    <row r="73" s="39" customFormat="1"/>
    <row r="74" s="39" customFormat="1"/>
    <row r="75" s="39" customFormat="1"/>
    <row r="76" s="39" customFormat="1"/>
    <row r="77" s="39" customFormat="1"/>
    <row r="78" s="39" customFormat="1"/>
    <row r="79" s="39" customFormat="1"/>
    <row r="80" s="39" customFormat="1"/>
    <row r="81" s="39" customFormat="1"/>
    <row r="82" s="39" customFormat="1"/>
    <row r="83" s="39" customFormat="1"/>
    <row r="84" s="39" customFormat="1"/>
    <row r="85" s="39" customFormat="1"/>
    <row r="86" s="39" customFormat="1"/>
    <row r="87" s="39" customFormat="1"/>
    <row r="88" s="39" customFormat="1"/>
    <row r="89" s="39" customFormat="1"/>
    <row r="90" s="39" customFormat="1"/>
    <row r="91" s="39" customFormat="1"/>
    <row r="92" s="39" customFormat="1"/>
    <row r="93" s="39" customFormat="1"/>
    <row r="94" s="39" customFormat="1"/>
    <row r="95" s="39" customFormat="1"/>
    <row r="96" s="39" customFormat="1"/>
    <row r="97" s="39" customFormat="1"/>
    <row r="98" s="39" customFormat="1"/>
    <row r="99" s="39" customFormat="1"/>
    <row r="100" s="39" customFormat="1"/>
    <row r="101" s="39" customFormat="1"/>
    <row r="102" s="39" customFormat="1"/>
    <row r="103" s="39" customFormat="1"/>
    <row r="104" s="39" customFormat="1"/>
    <row r="105" s="39" customFormat="1"/>
    <row r="106" s="39" customFormat="1"/>
    <row r="107" s="39" customFormat="1" ht="284.25" customHeight="1"/>
    <row r="108" s="39" customFormat="1"/>
    <row r="109" s="39" customFormat="1"/>
    <row r="110" s="39" customFormat="1"/>
    <row r="111" s="39" customFormat="1"/>
    <row r="112" s="39" customFormat="1"/>
    <row r="113" spans="1:3" s="39" customFormat="1"/>
    <row r="114" spans="1:3" s="39" customFormat="1">
      <c r="A114" s="111" t="str">
        <f>Tabela410[[#Headers],[ARLIZ]]</f>
        <v>ARLIZ</v>
      </c>
      <c r="B114" s="47">
        <f>B54</f>
        <v>0</v>
      </c>
      <c r="C114" s="122">
        <v>1</v>
      </c>
    </row>
    <row r="115" spans="1:3" s="39" customFormat="1">
      <c r="A115" s="32" t="str">
        <f>Tabela410[[#Headers],[CAMOMIL ]]</f>
        <v xml:space="preserve">CAMOMIL </v>
      </c>
      <c r="B115" s="47">
        <f>C54</f>
        <v>0</v>
      </c>
      <c r="C115" s="122">
        <v>2</v>
      </c>
    </row>
    <row r="116" spans="1:3" s="39" customFormat="1">
      <c r="A116" s="111" t="str">
        <f>Tabela410[[#Headers],[COMPANY]]</f>
        <v>COMPANY</v>
      </c>
      <c r="B116" s="47">
        <f>D54</f>
        <v>0</v>
      </c>
      <c r="C116" s="122">
        <v>3</v>
      </c>
    </row>
    <row r="117" spans="1:3" s="39" customFormat="1">
      <c r="A117" s="32" t="str">
        <f>Tabela410[[#Headers],[DALCOMADE]]</f>
        <v>DALCOMADE</v>
      </c>
      <c r="B117" s="47">
        <f>E54</f>
        <v>0</v>
      </c>
      <c r="C117" s="122">
        <v>4</v>
      </c>
    </row>
    <row r="118" spans="1:3" s="39" customFormat="1">
      <c r="A118" s="111" t="str">
        <f>Tabela410[[#Headers],[EUCATEX]]</f>
        <v>EUCATEX</v>
      </c>
      <c r="B118" s="47">
        <f>F54</f>
        <v>0</v>
      </c>
      <c r="C118" s="122">
        <v>5</v>
      </c>
    </row>
    <row r="119" spans="1:3" s="39" customFormat="1">
      <c r="A119" s="32" t="str">
        <f>Tabela410[[#Headers],[GN-MADEIRAS]]</f>
        <v>GN-MADEIRAS</v>
      </c>
      <c r="B119" s="47">
        <f>G54</f>
        <v>0</v>
      </c>
      <c r="C119" s="122">
        <v>6</v>
      </c>
    </row>
    <row r="120" spans="1:3" s="39" customFormat="1">
      <c r="A120" s="111" t="str">
        <f>Tabela410[[#Headers],[IDEAL]]</f>
        <v>IDEAL</v>
      </c>
      <c r="B120" s="47">
        <f>H54</f>
        <v>0</v>
      </c>
      <c r="C120" s="122">
        <v>7</v>
      </c>
    </row>
    <row r="121" spans="1:3" s="39" customFormat="1">
      <c r="A121" s="32" t="str">
        <f>Tabela410[[#Headers],[IRMÃS NAVAS]]</f>
        <v>IRMÃS NAVAS</v>
      </c>
      <c r="B121" s="47">
        <f>I54</f>
        <v>0</v>
      </c>
      <c r="C121" s="122">
        <v>8</v>
      </c>
    </row>
    <row r="122" spans="1:3" s="39" customFormat="1">
      <c r="A122" s="111" t="str">
        <f>Tabela410[[#Headers],[IMPEL]]</f>
        <v>IMPEL</v>
      </c>
      <c r="B122" s="47">
        <f>J54</f>
        <v>0</v>
      </c>
      <c r="C122" s="122">
        <v>9</v>
      </c>
    </row>
    <row r="123" spans="1:3" s="39" customFormat="1">
      <c r="A123" s="32" t="str">
        <f>Tabela410[[#Headers],[RODEIO]]</f>
        <v>RODEIO</v>
      </c>
      <c r="B123" s="47">
        <f>K54</f>
        <v>0</v>
      </c>
      <c r="C123" s="122">
        <v>10</v>
      </c>
    </row>
    <row r="124" spans="1:3" s="39" customFormat="1">
      <c r="A124" s="111" t="str">
        <f>Tabela410[[#Headers],[SUL PORTAS]]</f>
        <v>SUL PORTAS</v>
      </c>
      <c r="B124" s="47">
        <f>L54</f>
        <v>0</v>
      </c>
      <c r="C124" s="122">
        <v>11</v>
      </c>
    </row>
    <row r="125" spans="1:3" s="39" customFormat="1">
      <c r="A125" s="32" t="str">
        <f>Tabela410[[#Headers],[MAD CASTOR]]</f>
        <v>MAD CASTOR</v>
      </c>
      <c r="B125" s="47">
        <f>M54</f>
        <v>0</v>
      </c>
      <c r="C125" s="122">
        <v>12</v>
      </c>
    </row>
    <row r="126" spans="1:3" s="39" customFormat="1">
      <c r="A126" s="111" t="str">
        <f>Tabela410[[#Headers],[WILLIAM SHULL]]</f>
        <v>WILLIAM SHULL</v>
      </c>
      <c r="B126" s="47">
        <f>N54</f>
        <v>0</v>
      </c>
      <c r="C126" s="122">
        <v>13</v>
      </c>
    </row>
    <row r="127" spans="1:3" s="39" customFormat="1">
      <c r="A127" s="32" t="str">
        <f>Tabela410[[#Headers],[MGM]]</f>
        <v>MGM</v>
      </c>
      <c r="B127" s="47">
        <f>O54</f>
        <v>0</v>
      </c>
      <c r="C127" s="122">
        <v>14</v>
      </c>
    </row>
    <row r="128" spans="1:3" s="39" customFormat="1">
      <c r="A128" s="111" t="str">
        <f>Tabela410[[#Headers],[NAVAS]]</f>
        <v>NAVAS</v>
      </c>
      <c r="B128" s="47">
        <f>P54</f>
        <v>0</v>
      </c>
      <c r="C128" s="122">
        <v>15</v>
      </c>
    </row>
    <row r="129" spans="1:3" s="39" customFormat="1">
      <c r="A129" s="32" t="str">
        <f>Tabela410[[#Headers],[OJ CHUANTS ]]</f>
        <v xml:space="preserve">OJ CHUANTS </v>
      </c>
      <c r="B129" s="47">
        <f>Q54</f>
        <v>0</v>
      </c>
      <c r="C129" s="122">
        <v>16</v>
      </c>
    </row>
    <row r="130" spans="1:3" s="39" customFormat="1">
      <c r="A130" s="111" t="str">
        <f>Tabela410[[#Headers],[PIANCE]]</f>
        <v>PIANCE</v>
      </c>
      <c r="B130" s="47">
        <f>R54</f>
        <v>0</v>
      </c>
      <c r="C130" s="122">
        <v>17</v>
      </c>
    </row>
    <row r="131" spans="1:3" s="39" customFormat="1">
      <c r="A131" s="32" t="str">
        <f>Tabela410[[#Headers],[POLTRONIERI]]</f>
        <v>POLTRONIERI</v>
      </c>
      <c r="B131" s="47">
        <f>S54</f>
        <v>0</v>
      </c>
      <c r="C131" s="122">
        <v>18</v>
      </c>
    </row>
    <row r="132" spans="1:3" s="39" customFormat="1">
      <c r="A132" s="111" t="str">
        <f>Tabela410[[#Headers],[PORTO UNIÃO ]]</f>
        <v xml:space="preserve">PORTO UNIÃO </v>
      </c>
      <c r="B132" s="47">
        <f>T54</f>
        <v>0</v>
      </c>
      <c r="C132" s="122">
        <v>19</v>
      </c>
    </row>
    <row r="133" spans="1:3" s="39" customFormat="1">
      <c r="A133" s="32" t="str">
        <f>Tabela410[[#Headers],[PRESOTTO]]</f>
        <v>PRESOTTO</v>
      </c>
      <c r="B133" s="47">
        <f>U54</f>
        <v>0</v>
      </c>
      <c r="C133" s="122">
        <v>20</v>
      </c>
    </row>
    <row r="134" spans="1:3" s="39" customFormat="1">
      <c r="A134" s="111" t="str">
        <f>Tabela410[[#Headers],[RIVA]]</f>
        <v>RIVA</v>
      </c>
      <c r="B134" s="47">
        <f>V54</f>
        <v>0</v>
      </c>
      <c r="C134" s="122">
        <v>21</v>
      </c>
    </row>
    <row r="135" spans="1:3" s="39" customFormat="1">
      <c r="A135" s="32" t="str">
        <f>Tabela410[[#Headers],[SANCHES]]</f>
        <v>SANCHES</v>
      </c>
      <c r="B135" s="47">
        <f>W54</f>
        <v>0</v>
      </c>
      <c r="C135" s="122">
        <v>22</v>
      </c>
    </row>
    <row r="136" spans="1:3" s="39" customFormat="1">
      <c r="A136" s="111" t="str">
        <f>Tabela410[[#Headers],[STAM]]</f>
        <v>STAM</v>
      </c>
      <c r="B136" s="47">
        <f>X54</f>
        <v>0</v>
      </c>
      <c r="C136" s="122">
        <v>23</v>
      </c>
    </row>
    <row r="137" spans="1:3" s="39" customFormat="1">
      <c r="A137" s="32" t="str">
        <f>Tabela410[[#Headers],[JJ BATENTES]]</f>
        <v>JJ BATENTES</v>
      </c>
      <c r="B137" s="47">
        <f>Y54</f>
        <v>0</v>
      </c>
      <c r="C137" s="122">
        <v>24</v>
      </c>
    </row>
    <row r="138" spans="1:3" s="39" customFormat="1">
      <c r="A138" s="111" t="str">
        <f>Tabela410[[#Headers],[ALAMO]]</f>
        <v>ALAMO</v>
      </c>
      <c r="B138" s="47">
        <f>Z54</f>
        <v>0</v>
      </c>
      <c r="C138" s="122">
        <v>25</v>
      </c>
    </row>
    <row r="139" spans="1:3" s="39" customFormat="1">
      <c r="A139" s="32" t="str">
        <f>Tabela410[[#Headers],[ALUMINIO 2A]]</f>
        <v>ALUMINIO 2A</v>
      </c>
      <c r="B139" s="47">
        <f>AA54</f>
        <v>0</v>
      </c>
      <c r="C139" s="122">
        <v>26</v>
      </c>
    </row>
    <row r="140" spans="1:3" s="39" customFormat="1">
      <c r="A140" s="111" t="str">
        <f>Tabela4[[#Headers],[UNIPORTAS]]</f>
        <v>UNIPORTAS</v>
      </c>
      <c r="B140" s="50">
        <f>AB54</f>
        <v>0</v>
      </c>
      <c r="C140" s="122">
        <v>27</v>
      </c>
    </row>
    <row r="141" spans="1:3" s="39" customFormat="1"/>
    <row r="142" spans="1:3" s="39" customFormat="1"/>
    <row r="143" spans="1:3" customFormat="1">
      <c r="A143" s="110" t="s">
        <v>153</v>
      </c>
      <c r="B143" s="108" t="s">
        <v>152</v>
      </c>
    </row>
    <row r="144" spans="1:3" customFormat="1">
      <c r="A144" s="109" t="str">
        <f>A114</f>
        <v>ARLIZ</v>
      </c>
      <c r="B144" s="123">
        <f>B114</f>
        <v>0</v>
      </c>
    </row>
    <row r="145" spans="1:79">
      <c r="A145" s="109" t="str">
        <f t="shared" ref="A145" si="4">A122</f>
        <v>IMPEL</v>
      </c>
      <c r="B145" s="123">
        <f>B122</f>
        <v>0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1:79">
      <c r="A146" s="109" t="str">
        <f t="shared" ref="A146:B146" si="5">A123</f>
        <v>RODEIO</v>
      </c>
      <c r="B146" s="123">
        <f t="shared" si="5"/>
        <v>0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1:79">
      <c r="A147" s="109" t="str">
        <f t="shared" ref="A147:B147" si="6">A127</f>
        <v>MGM</v>
      </c>
      <c r="B147" s="123">
        <f t="shared" si="6"/>
        <v>0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1:79">
      <c r="A148" s="109" t="str">
        <f t="shared" ref="A148:B148" si="7">A128</f>
        <v>NAVAS</v>
      </c>
      <c r="B148" s="123">
        <f t="shared" si="7"/>
        <v>0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1:79">
      <c r="A149" s="109" t="str">
        <f t="shared" ref="A149:B149" si="8">A131</f>
        <v>POLTRONIERI</v>
      </c>
      <c r="B149" s="123">
        <f t="shared" si="8"/>
        <v>0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1:79">
      <c r="A150" s="109" t="str">
        <f t="shared" ref="A150:B150" si="9">A133</f>
        <v>PRESOTTO</v>
      </c>
      <c r="B150" s="123">
        <f t="shared" si="9"/>
        <v>0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1:79">
      <c r="A151" s="109" t="str">
        <f t="shared" ref="A151:B151" si="10">A134</f>
        <v>RIVA</v>
      </c>
      <c r="B151" s="123">
        <f t="shared" si="10"/>
        <v>0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1:79">
      <c r="A152" s="109" t="str">
        <f t="shared" ref="A152:B152" si="11">A135</f>
        <v>SANCHES</v>
      </c>
      <c r="B152" s="123">
        <f t="shared" si="11"/>
        <v>0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1:79">
      <c r="A153" s="109" t="str">
        <f t="shared" ref="A153:B153" si="12">A138</f>
        <v>ALAMO</v>
      </c>
      <c r="B153" s="123">
        <f t="shared" si="12"/>
        <v>0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1:79"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1:79"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1:79"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1:79"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1:79"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1:79"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1:79"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s="39" customFormat="1"/>
    <row r="177" s="39" customFormat="1"/>
    <row r="178" s="39" customFormat="1"/>
    <row r="179" s="39" customFormat="1"/>
    <row r="180" s="39" customFormat="1"/>
    <row r="181" s="39" customFormat="1"/>
    <row r="182" s="39" customFormat="1"/>
    <row r="183" s="39" customFormat="1"/>
    <row r="184" s="39" customFormat="1"/>
    <row r="185" s="39" customFormat="1"/>
    <row r="186" s="39" customFormat="1"/>
    <row r="187" s="39" customFormat="1"/>
    <row r="188" s="39" customFormat="1"/>
    <row r="189" s="39" customFormat="1"/>
    <row r="190" s="39" customFormat="1"/>
    <row r="191" s="39" customFormat="1"/>
    <row r="192" s="39" customFormat="1"/>
    <row r="193" s="39" customFormat="1"/>
    <row r="194" s="39" customFormat="1"/>
    <row r="195" s="39" customFormat="1"/>
    <row r="196" s="39" customFormat="1"/>
    <row r="197" s="39" customFormat="1"/>
    <row r="198" s="39" customFormat="1"/>
    <row r="199" s="39" customFormat="1"/>
    <row r="200" s="39" customFormat="1"/>
    <row r="201" s="39" customFormat="1"/>
    <row r="202" s="39" customFormat="1"/>
    <row r="203" s="39" customFormat="1"/>
    <row r="204" s="39" customFormat="1"/>
    <row r="205" s="39" customFormat="1"/>
    <row r="206" s="39" customFormat="1"/>
    <row r="207" s="39" customFormat="1"/>
    <row r="208" s="39" customFormat="1"/>
    <row r="209" s="39" customFormat="1"/>
    <row r="210" s="39" customFormat="1"/>
    <row r="211" s="39" customFormat="1"/>
    <row r="212" s="39" customFormat="1"/>
    <row r="213" s="39" customFormat="1"/>
    <row r="214" s="39" customFormat="1"/>
    <row r="215" s="39" customFormat="1"/>
    <row r="216" s="39" customFormat="1"/>
    <row r="217" s="39" customFormat="1"/>
    <row r="218" s="39" customFormat="1"/>
    <row r="219" s="39" customFormat="1"/>
    <row r="220" s="39" customFormat="1"/>
    <row r="221" s="39" customFormat="1"/>
    <row r="222" s="39" customFormat="1"/>
    <row r="223" s="39" customFormat="1"/>
    <row r="224" s="39" customFormat="1"/>
    <row r="225" s="39" customFormat="1"/>
    <row r="226" s="39" customFormat="1"/>
    <row r="227" s="39" customFormat="1"/>
    <row r="228" s="39" customFormat="1"/>
    <row r="229" s="39" customFormat="1"/>
    <row r="230" s="39" customFormat="1"/>
    <row r="231" s="39" customFormat="1"/>
    <row r="232" s="39" customFormat="1"/>
    <row r="233" s="39" customFormat="1"/>
    <row r="234" s="39" customFormat="1"/>
    <row r="235" s="39" customFormat="1"/>
    <row r="236" s="39" customFormat="1"/>
    <row r="237" s="39" customFormat="1"/>
    <row r="238" s="39" customFormat="1"/>
    <row r="239" s="39" customFormat="1"/>
    <row r="240" s="39" customFormat="1"/>
    <row r="241" s="39" customFormat="1"/>
    <row r="242" s="39" customFormat="1"/>
    <row r="243" s="39" customFormat="1"/>
    <row r="244" s="39" customFormat="1"/>
    <row r="245" s="39" customFormat="1"/>
    <row r="246" s="39" customFormat="1"/>
    <row r="247" s="39" customFormat="1"/>
    <row r="248" s="39" customFormat="1"/>
    <row r="249" s="39" customFormat="1"/>
    <row r="250" s="39" customFormat="1"/>
    <row r="251" s="39" customFormat="1"/>
    <row r="252" s="39" customFormat="1"/>
    <row r="253" s="39" customFormat="1"/>
    <row r="254" s="39" customFormat="1"/>
    <row r="255" s="39" customFormat="1"/>
    <row r="256" s="39" customFormat="1"/>
    <row r="257" s="39" customFormat="1"/>
    <row r="258" s="39" customFormat="1"/>
    <row r="259" s="39" customFormat="1"/>
    <row r="260" s="39" customFormat="1"/>
    <row r="261" s="39" customFormat="1"/>
    <row r="262" s="39" customFormat="1"/>
    <row r="263" s="39" customFormat="1"/>
    <row r="264" s="39" customFormat="1"/>
    <row r="265" s="39" customFormat="1"/>
    <row r="266" s="39" customFormat="1"/>
    <row r="267" s="39" customFormat="1"/>
    <row r="268" s="39" customFormat="1"/>
    <row r="269" s="39" customFormat="1"/>
    <row r="270" s="39" customFormat="1"/>
    <row r="271" s="39" customFormat="1"/>
    <row r="272" s="39" customFormat="1"/>
    <row r="273" s="39" customFormat="1"/>
    <row r="274" s="39" customFormat="1"/>
    <row r="275" s="39" customFormat="1"/>
    <row r="276" s="39" customFormat="1"/>
    <row r="277" s="39" customFormat="1"/>
    <row r="278" s="39" customFormat="1"/>
    <row r="279" s="39" customFormat="1"/>
    <row r="280" s="39" customFormat="1"/>
    <row r="281" s="39" customFormat="1"/>
    <row r="282" s="39" customFormat="1"/>
    <row r="283" s="39" customFormat="1"/>
    <row r="284" s="39" customFormat="1"/>
    <row r="285" s="39" customFormat="1"/>
    <row r="286" s="39" customFormat="1"/>
    <row r="287" s="39" customFormat="1"/>
    <row r="288" s="39" customFormat="1"/>
    <row r="289" s="39" customFormat="1"/>
    <row r="290" s="39" customFormat="1"/>
    <row r="291" s="39" customFormat="1"/>
    <row r="292" s="39" customFormat="1"/>
    <row r="293" s="39" customFormat="1"/>
    <row r="294" s="39" customFormat="1"/>
    <row r="295" s="39" customFormat="1"/>
    <row r="296" s="39" customFormat="1"/>
    <row r="297" s="39" customFormat="1"/>
    <row r="298" s="39" customFormat="1"/>
    <row r="299" s="39" customFormat="1"/>
    <row r="300" s="39" customFormat="1"/>
    <row r="301" s="39" customFormat="1"/>
    <row r="302" s="39" customFormat="1"/>
    <row r="303" s="39" customFormat="1"/>
    <row r="304" s="39" customFormat="1"/>
    <row r="305" s="39" customFormat="1"/>
    <row r="306" s="39" customFormat="1"/>
    <row r="307" s="39" customFormat="1"/>
    <row r="308" s="39" customFormat="1"/>
    <row r="309" s="39" customFormat="1"/>
    <row r="310" s="39" customFormat="1"/>
    <row r="311" s="39" customFormat="1"/>
    <row r="312" s="39" customFormat="1"/>
    <row r="313" s="39" customFormat="1"/>
    <row r="314" s="39" customFormat="1"/>
    <row r="315" s="39" customFormat="1"/>
    <row r="316" s="39" customFormat="1"/>
    <row r="317" s="39" customFormat="1"/>
    <row r="318" s="39" customFormat="1"/>
    <row r="319" s="39" customFormat="1"/>
    <row r="320" s="39" customFormat="1"/>
    <row r="321" s="39" customFormat="1"/>
    <row r="322" s="39" customFormat="1"/>
    <row r="323" s="39" customFormat="1"/>
    <row r="324" s="39" customFormat="1"/>
    <row r="325" s="39" customFormat="1"/>
    <row r="326" s="39" customFormat="1"/>
    <row r="327" s="39" customFormat="1"/>
    <row r="328" s="39" customFormat="1"/>
    <row r="329" s="39" customFormat="1"/>
    <row r="330" s="39" customFormat="1"/>
    <row r="331" s="39" customFormat="1"/>
    <row r="332" s="39" customFormat="1"/>
    <row r="333" s="39" customFormat="1"/>
    <row r="334" s="39" customFormat="1"/>
    <row r="335" s="39" customFormat="1"/>
    <row r="336" s="39" customFormat="1"/>
    <row r="337" s="39" customFormat="1"/>
    <row r="338" s="39" customFormat="1"/>
    <row r="339" s="39" customFormat="1"/>
    <row r="340" s="39" customFormat="1"/>
    <row r="341" s="39" customFormat="1"/>
    <row r="342" s="39" customFormat="1"/>
    <row r="343" s="39" customFormat="1"/>
    <row r="344" s="39" customFormat="1"/>
    <row r="345" s="39" customFormat="1"/>
    <row r="346" s="39" customFormat="1"/>
    <row r="347" s="39" customFormat="1"/>
    <row r="348" s="39" customFormat="1"/>
    <row r="349" s="39" customFormat="1"/>
    <row r="350" s="39" customFormat="1"/>
    <row r="351" s="39" customFormat="1"/>
    <row r="352" s="39" customFormat="1"/>
    <row r="353" s="39" customFormat="1"/>
    <row r="354" s="39" customFormat="1"/>
    <row r="355" s="39" customFormat="1"/>
    <row r="356" s="39" customFormat="1"/>
    <row r="357" s="39" customFormat="1"/>
    <row r="358" s="39" customFormat="1"/>
    <row r="359" s="39" customFormat="1"/>
    <row r="360" s="39" customFormat="1"/>
    <row r="361" s="39" customFormat="1"/>
    <row r="362" s="39" customFormat="1"/>
    <row r="363" s="39" customFormat="1"/>
    <row r="364" s="39" customFormat="1"/>
    <row r="365" s="39" customFormat="1"/>
    <row r="366" s="39" customFormat="1"/>
    <row r="367" s="39" customFormat="1"/>
    <row r="368" s="39" customFormat="1"/>
    <row r="369" s="39" customFormat="1"/>
    <row r="370" s="39" customFormat="1"/>
    <row r="371" s="39" customFormat="1"/>
    <row r="372" s="39" customFormat="1"/>
    <row r="373" s="39" customFormat="1"/>
    <row r="374" s="39" customFormat="1"/>
    <row r="375" s="39" customFormat="1"/>
    <row r="376" s="39" customFormat="1"/>
    <row r="377" s="39" customFormat="1"/>
    <row r="378" s="39" customFormat="1"/>
    <row r="379" s="39" customFormat="1"/>
    <row r="380" s="39" customFormat="1"/>
    <row r="381" s="39" customFormat="1"/>
    <row r="382" s="39" customFormat="1"/>
    <row r="383" s="39" customFormat="1"/>
    <row r="384" s="39" customFormat="1"/>
    <row r="385" s="39" customFormat="1"/>
    <row r="386" s="39" customFormat="1"/>
    <row r="387" s="39" customFormat="1"/>
    <row r="388" s="39" customFormat="1"/>
    <row r="389" s="39" customFormat="1"/>
    <row r="390" s="39" customFormat="1"/>
    <row r="391" s="39" customFormat="1"/>
    <row r="392" s="39" customFormat="1"/>
    <row r="393" s="39" customFormat="1"/>
    <row r="394" s="39" customFormat="1"/>
    <row r="395" s="39" customFormat="1"/>
    <row r="396" s="39" customFormat="1"/>
    <row r="397" s="39" customFormat="1"/>
    <row r="398" s="39" customFormat="1"/>
    <row r="399" s="39" customFormat="1"/>
    <row r="400" s="39" customFormat="1"/>
    <row r="401" s="39" customFormat="1"/>
    <row r="402" s="39" customFormat="1"/>
    <row r="403" s="39" customFormat="1"/>
    <row r="404" s="39" customFormat="1"/>
    <row r="405" s="39" customFormat="1"/>
    <row r="406" s="39" customFormat="1"/>
    <row r="407" s="39" customFormat="1"/>
    <row r="408" s="39" customFormat="1"/>
    <row r="409" s="39" customFormat="1"/>
    <row r="410" s="39" customFormat="1"/>
    <row r="411" s="39" customFormat="1"/>
    <row r="412" s="39" customFormat="1"/>
    <row r="413" s="39" customFormat="1"/>
    <row r="414" s="39" customFormat="1"/>
    <row r="415" s="39" customFormat="1"/>
    <row r="416" s="39" customFormat="1"/>
    <row r="417" s="39" customFormat="1"/>
    <row r="418" s="39" customFormat="1"/>
    <row r="419" s="39" customFormat="1"/>
    <row r="420" s="39" customFormat="1"/>
    <row r="421" s="39" customFormat="1"/>
    <row r="422" s="39" customFormat="1"/>
    <row r="423" s="39" customFormat="1"/>
    <row r="424" s="39" customFormat="1"/>
    <row r="425" s="39" customFormat="1"/>
    <row r="426" s="39" customFormat="1"/>
    <row r="427" s="39" customFormat="1"/>
    <row r="428" s="39" customFormat="1"/>
    <row r="429" s="39" customFormat="1"/>
    <row r="430" s="39" customFormat="1"/>
    <row r="431" s="39" customFormat="1"/>
    <row r="432" s="39" customFormat="1"/>
    <row r="433" s="39" customFormat="1"/>
    <row r="434" s="39" customFormat="1"/>
    <row r="435" s="39" customFormat="1"/>
    <row r="436" s="39" customFormat="1"/>
    <row r="437" s="39" customFormat="1"/>
    <row r="438" s="39" customFormat="1"/>
    <row r="439" s="39" customFormat="1"/>
    <row r="440" s="39" customFormat="1"/>
    <row r="441" s="39" customFormat="1"/>
    <row r="442" s="39" customFormat="1"/>
    <row r="443" s="39" customFormat="1"/>
    <row r="444" s="39" customFormat="1"/>
    <row r="445" s="39" customFormat="1"/>
    <row r="446" s="39" customFormat="1"/>
    <row r="447" s="39" customFormat="1"/>
    <row r="448" s="39" customFormat="1"/>
  </sheetData>
  <mergeCells count="5">
    <mergeCell ref="A32:A35"/>
    <mergeCell ref="G3:G4"/>
    <mergeCell ref="B37:AC37"/>
    <mergeCell ref="B38:L38"/>
    <mergeCell ref="AC38:AC39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"/>
  <dimension ref="A1:DC534"/>
  <sheetViews>
    <sheetView showZeros="0" zoomScaleNormal="100" workbookViewId="0"/>
  </sheetViews>
  <sheetFormatPr defaultRowHeight="15"/>
  <cols>
    <col min="1" max="1" width="15.140625" style="39" customWidth="1"/>
    <col min="2" max="6" width="14.7109375" customWidth="1"/>
    <col min="7" max="7" width="16.140625" customWidth="1"/>
    <col min="8" max="8" width="14.7109375" customWidth="1"/>
    <col min="9" max="9" width="15.7109375" customWidth="1"/>
    <col min="10" max="11" width="14.7109375" customWidth="1"/>
    <col min="12" max="13" width="15" customWidth="1"/>
    <col min="14" max="14" width="17" customWidth="1"/>
    <col min="15" max="18" width="14.7109375" customWidth="1"/>
    <col min="19" max="19" width="14.85546875" customWidth="1"/>
    <col min="20" max="20" width="16.28515625" customWidth="1"/>
    <col min="21" max="26" width="14.7109375" customWidth="1"/>
    <col min="27" max="27" width="15.28515625" customWidth="1"/>
    <col min="28" max="28" width="14.7109375" customWidth="1"/>
    <col min="29" max="29" width="14.85546875" customWidth="1"/>
    <col min="30" max="107" width="9.140625" style="39"/>
  </cols>
  <sheetData>
    <row r="1" spans="7:7" s="39" customFormat="1"/>
    <row r="2" spans="7:7" s="39" customFormat="1"/>
    <row r="3" spans="7:7" s="39" customFormat="1">
      <c r="G3" s="221">
        <f>AC53</f>
        <v>0</v>
      </c>
    </row>
    <row r="4" spans="7:7" s="39" customFormat="1">
      <c r="G4" s="222"/>
    </row>
    <row r="5" spans="7:7" s="39" customFormat="1"/>
    <row r="6" spans="7:7" s="39" customFormat="1"/>
    <row r="7" spans="7:7" s="39" customFormat="1"/>
    <row r="8" spans="7:7" s="39" customFormat="1"/>
    <row r="9" spans="7:7" s="39" customFormat="1"/>
    <row r="10" spans="7:7" s="39" customFormat="1"/>
    <row r="11" spans="7:7" s="39" customFormat="1"/>
    <row r="12" spans="7:7" s="39" customFormat="1"/>
    <row r="13" spans="7:7" s="39" customFormat="1"/>
    <row r="14" spans="7:7" s="39" customFormat="1"/>
    <row r="15" spans="7:7" s="39" customFormat="1"/>
    <row r="16" spans="7:7" s="39" customFormat="1"/>
    <row r="17" s="39" customFormat="1"/>
    <row r="18" s="39" customFormat="1"/>
    <row r="19" s="39" customFormat="1"/>
    <row r="20" s="39" customFormat="1"/>
    <row r="21" s="39" customFormat="1"/>
    <row r="22" s="39" customFormat="1"/>
    <row r="23" s="39" customFormat="1"/>
    <row r="24" s="39" customFormat="1"/>
    <row r="25" s="39" customFormat="1"/>
    <row r="26" s="39" customFormat="1"/>
    <row r="27" s="39" customFormat="1"/>
    <row r="28" s="39" customFormat="1"/>
    <row r="29" s="39" customFormat="1"/>
    <row r="30" s="39" customFormat="1"/>
    <row r="31" s="39" customFormat="1"/>
    <row r="32" s="39" customFormat="1"/>
    <row r="33" spans="1:29" s="39" customFormat="1"/>
    <row r="34" spans="1:29" s="39" customFormat="1" ht="15.75">
      <c r="A34" s="113"/>
    </row>
    <row r="35" spans="1:29" s="39" customFormat="1"/>
    <row r="36" spans="1:29" ht="23.25">
      <c r="B36" s="223" t="s">
        <v>95</v>
      </c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25"/>
    </row>
    <row r="37" spans="1:29" ht="21">
      <c r="B37" s="210" t="s">
        <v>31</v>
      </c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54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1"/>
      <c r="AC37" s="212" t="s">
        <v>81</v>
      </c>
    </row>
    <row r="38" spans="1:29" ht="15" customHeight="1">
      <c r="A38" s="87" t="s">
        <v>99</v>
      </c>
      <c r="B38" s="88" t="s">
        <v>40</v>
      </c>
      <c r="C38" s="88" t="s">
        <v>89</v>
      </c>
      <c r="D38" s="88" t="s">
        <v>90</v>
      </c>
      <c r="E38" s="88" t="s">
        <v>91</v>
      </c>
      <c r="F38" s="88" t="s">
        <v>52</v>
      </c>
      <c r="G38" s="88" t="s">
        <v>92</v>
      </c>
      <c r="H38" s="88" t="s">
        <v>59</v>
      </c>
      <c r="I38" s="88" t="s">
        <v>62</v>
      </c>
      <c r="J38" s="88" t="s">
        <v>64</v>
      </c>
      <c r="K38" s="88" t="s">
        <v>65</v>
      </c>
      <c r="L38" s="88" t="s">
        <v>66</v>
      </c>
      <c r="M38" s="88" t="s">
        <v>67</v>
      </c>
      <c r="N38" s="88" t="s">
        <v>68</v>
      </c>
      <c r="O38" s="88" t="s">
        <v>43</v>
      </c>
      <c r="P38" s="88" t="s">
        <v>34</v>
      </c>
      <c r="Q38" s="88" t="s">
        <v>93</v>
      </c>
      <c r="R38" s="88" t="s">
        <v>72</v>
      </c>
      <c r="S38" s="88" t="s">
        <v>73</v>
      </c>
      <c r="T38" s="88" t="s">
        <v>94</v>
      </c>
      <c r="U38" s="88" t="s">
        <v>71</v>
      </c>
      <c r="V38" s="88" t="s">
        <v>56</v>
      </c>
      <c r="W38" s="88" t="s">
        <v>69</v>
      </c>
      <c r="X38" s="88" t="s">
        <v>75</v>
      </c>
      <c r="Y38" s="88" t="s">
        <v>76</v>
      </c>
      <c r="Z38" s="88" t="s">
        <v>77</v>
      </c>
      <c r="AA38" s="88" t="s">
        <v>78</v>
      </c>
      <c r="AB38" s="89" t="s">
        <v>79</v>
      </c>
      <c r="AC38" s="212"/>
    </row>
    <row r="39" spans="1:29">
      <c r="A39" s="85">
        <f>Dados!D22</f>
        <v>45658</v>
      </c>
      <c r="B39" s="47">
        <f>Dados!E22</f>
        <v>0</v>
      </c>
      <c r="C39" s="47">
        <f>Dados!F22</f>
        <v>0</v>
      </c>
      <c r="D39" s="47">
        <f>Dados!G22</f>
        <v>0</v>
      </c>
      <c r="E39" s="47">
        <f>Dados!H22</f>
        <v>0</v>
      </c>
      <c r="F39" s="47">
        <f>Dados!I22</f>
        <v>0</v>
      </c>
      <c r="G39" s="47">
        <f>Dados!J22</f>
        <v>0</v>
      </c>
      <c r="H39" s="47">
        <f>Dados!K22</f>
        <v>0</v>
      </c>
      <c r="I39" s="47">
        <f>Dados!L22</f>
        <v>0</v>
      </c>
      <c r="J39" s="47">
        <f>Dados!M22</f>
        <v>0</v>
      </c>
      <c r="K39" s="47">
        <f>Dados!N22</f>
        <v>0</v>
      </c>
      <c r="L39" s="47">
        <f>Dados!O22</f>
        <v>0</v>
      </c>
      <c r="M39" s="47">
        <f>Dados!P22</f>
        <v>0</v>
      </c>
      <c r="N39" s="47">
        <f>Dados!Q22</f>
        <v>0</v>
      </c>
      <c r="O39" s="47">
        <f>Dados!R22</f>
        <v>0</v>
      </c>
      <c r="P39" s="47">
        <f>Dados!S22</f>
        <v>0</v>
      </c>
      <c r="Q39" s="47">
        <f>Dados!T22</f>
        <v>0</v>
      </c>
      <c r="R39" s="47">
        <f>Dados!U22</f>
        <v>0</v>
      </c>
      <c r="S39" s="47">
        <f>Dados!V22</f>
        <v>0</v>
      </c>
      <c r="T39" s="47">
        <f>Dados!W22</f>
        <v>0</v>
      </c>
      <c r="U39" s="47">
        <f>Dados!X22</f>
        <v>0</v>
      </c>
      <c r="V39" s="47">
        <f>Dados!Y22</f>
        <v>0</v>
      </c>
      <c r="W39" s="47">
        <f>Dados!Z22</f>
        <v>0</v>
      </c>
      <c r="X39" s="47">
        <f>Dados!AA22</f>
        <v>0</v>
      </c>
      <c r="Y39" s="47">
        <f>Dados!AB22</f>
        <v>0</v>
      </c>
      <c r="Z39" s="47">
        <f>Dados!AC22</f>
        <v>0</v>
      </c>
      <c r="AA39" s="47">
        <f>Dados!AD22</f>
        <v>0</v>
      </c>
      <c r="AB39" s="79">
        <f>Dados!AE22</f>
        <v>0</v>
      </c>
      <c r="AC39" s="48">
        <f>SUM(B39:AB39)</f>
        <v>0</v>
      </c>
    </row>
    <row r="40" spans="1:29">
      <c r="A40" s="85">
        <f>Dados!D23</f>
        <v>45689</v>
      </c>
      <c r="B40" s="47">
        <f>Dados!E23</f>
        <v>0</v>
      </c>
      <c r="C40" s="47">
        <f>Dados!F23</f>
        <v>0</v>
      </c>
      <c r="D40" s="47">
        <f>Dados!G23</f>
        <v>0</v>
      </c>
      <c r="E40" s="47">
        <f>Dados!H23</f>
        <v>0</v>
      </c>
      <c r="F40" s="47">
        <f>Dados!I23</f>
        <v>0</v>
      </c>
      <c r="G40" s="47">
        <f>Dados!J23</f>
        <v>0</v>
      </c>
      <c r="H40" s="47">
        <f>Dados!K23</f>
        <v>0</v>
      </c>
      <c r="I40" s="47">
        <f>Dados!L23</f>
        <v>0</v>
      </c>
      <c r="J40" s="47">
        <f>Dados!M23</f>
        <v>0</v>
      </c>
      <c r="K40" s="47">
        <f>Dados!N23</f>
        <v>0</v>
      </c>
      <c r="L40" s="47">
        <f>Dados!O23</f>
        <v>0</v>
      </c>
      <c r="M40" s="47">
        <f>Dados!P23</f>
        <v>0</v>
      </c>
      <c r="N40" s="47">
        <f>Dados!Q23</f>
        <v>0</v>
      </c>
      <c r="O40" s="47">
        <f>Dados!R23</f>
        <v>0</v>
      </c>
      <c r="P40" s="47">
        <f>Dados!S23</f>
        <v>0</v>
      </c>
      <c r="Q40" s="47">
        <f>Dados!T23</f>
        <v>0</v>
      </c>
      <c r="R40" s="47">
        <f>Dados!U23</f>
        <v>0</v>
      </c>
      <c r="S40" s="47">
        <f>Dados!V23</f>
        <v>0</v>
      </c>
      <c r="T40" s="47">
        <f>Dados!W23</f>
        <v>0</v>
      </c>
      <c r="U40" s="47">
        <f>Dados!X23</f>
        <v>0</v>
      </c>
      <c r="V40" s="47">
        <f>Dados!Y23</f>
        <v>0</v>
      </c>
      <c r="W40" s="47">
        <f>Dados!Z23</f>
        <v>0</v>
      </c>
      <c r="X40" s="47">
        <f>Dados!AA23</f>
        <v>0</v>
      </c>
      <c r="Y40" s="47">
        <f>Dados!AB23</f>
        <v>0</v>
      </c>
      <c r="Z40" s="47">
        <f>Dados!AC23</f>
        <v>0</v>
      </c>
      <c r="AA40" s="47">
        <f>Dados!AD23</f>
        <v>0</v>
      </c>
      <c r="AB40" s="79">
        <f>Dados!AE23</f>
        <v>0</v>
      </c>
      <c r="AC40" s="48">
        <f t="shared" ref="AC40:AC50" si="0">SUM(B40:AB40)</f>
        <v>0</v>
      </c>
    </row>
    <row r="41" spans="1:29">
      <c r="A41" s="85">
        <f>Dados!D24</f>
        <v>45717</v>
      </c>
      <c r="B41" s="47">
        <f>Dados!E24</f>
        <v>0</v>
      </c>
      <c r="C41" s="47">
        <f>Dados!F24</f>
        <v>0</v>
      </c>
      <c r="D41" s="47">
        <f>Dados!G24</f>
        <v>0</v>
      </c>
      <c r="E41" s="47">
        <f>Dados!H24</f>
        <v>0</v>
      </c>
      <c r="F41" s="47">
        <f>Dados!I24</f>
        <v>0</v>
      </c>
      <c r="G41" s="47">
        <f>Dados!J24</f>
        <v>0</v>
      </c>
      <c r="H41" s="47">
        <f>Dados!K24</f>
        <v>0</v>
      </c>
      <c r="I41" s="47">
        <f>Dados!L24</f>
        <v>0</v>
      </c>
      <c r="J41" s="47">
        <f>Dados!M24</f>
        <v>0</v>
      </c>
      <c r="K41" s="47">
        <f>Dados!N24</f>
        <v>0</v>
      </c>
      <c r="L41" s="47">
        <f>Dados!O24</f>
        <v>0</v>
      </c>
      <c r="M41" s="47">
        <f>Dados!P24</f>
        <v>0</v>
      </c>
      <c r="N41" s="47">
        <f>Dados!Q24</f>
        <v>0</v>
      </c>
      <c r="O41" s="47">
        <f>Dados!R24</f>
        <v>0</v>
      </c>
      <c r="P41" s="47">
        <f>Dados!S24</f>
        <v>0</v>
      </c>
      <c r="Q41" s="47">
        <f>Dados!T24</f>
        <v>0</v>
      </c>
      <c r="R41" s="47">
        <f>Dados!U24</f>
        <v>0</v>
      </c>
      <c r="S41" s="47">
        <f>Dados!V24</f>
        <v>0</v>
      </c>
      <c r="T41" s="47">
        <f>Dados!W24</f>
        <v>0</v>
      </c>
      <c r="U41" s="47">
        <f>Dados!X24</f>
        <v>0</v>
      </c>
      <c r="V41" s="47">
        <f>Dados!Y24</f>
        <v>0</v>
      </c>
      <c r="W41" s="47">
        <f>Dados!Z24</f>
        <v>0</v>
      </c>
      <c r="X41" s="47">
        <f>Dados!AA24</f>
        <v>0</v>
      </c>
      <c r="Y41" s="47">
        <f>Dados!AB24</f>
        <v>0</v>
      </c>
      <c r="Z41" s="47">
        <f>Dados!AC24</f>
        <v>0</v>
      </c>
      <c r="AA41" s="47">
        <f>Dados!AD24</f>
        <v>0</v>
      </c>
      <c r="AB41" s="79">
        <f>Dados!AE24</f>
        <v>0</v>
      </c>
      <c r="AC41" s="48">
        <f t="shared" si="0"/>
        <v>0</v>
      </c>
    </row>
    <row r="42" spans="1:29">
      <c r="A42" s="85">
        <f>Dados!D25</f>
        <v>45748</v>
      </c>
      <c r="B42" s="47">
        <f>Dados!E25</f>
        <v>0</v>
      </c>
      <c r="C42" s="47">
        <f>Dados!F25</f>
        <v>0</v>
      </c>
      <c r="D42" s="47">
        <f>Dados!G25</f>
        <v>0</v>
      </c>
      <c r="E42" s="47">
        <f>Dados!H25</f>
        <v>0</v>
      </c>
      <c r="F42" s="47">
        <f>Dados!I25</f>
        <v>0</v>
      </c>
      <c r="G42" s="47">
        <f>Dados!J25</f>
        <v>0</v>
      </c>
      <c r="H42" s="47">
        <f>Dados!K25</f>
        <v>0</v>
      </c>
      <c r="I42" s="47">
        <f>Dados!L25</f>
        <v>0</v>
      </c>
      <c r="J42" s="47">
        <f>Dados!M25</f>
        <v>0</v>
      </c>
      <c r="K42" s="47">
        <f>Dados!N25</f>
        <v>0</v>
      </c>
      <c r="L42" s="47">
        <f>Dados!O25</f>
        <v>0</v>
      </c>
      <c r="M42" s="47">
        <f>Dados!P25</f>
        <v>0</v>
      </c>
      <c r="N42" s="47">
        <f>Dados!Q25</f>
        <v>0</v>
      </c>
      <c r="O42" s="47">
        <f>Dados!R25</f>
        <v>0</v>
      </c>
      <c r="P42" s="47">
        <f>Dados!S25</f>
        <v>0</v>
      </c>
      <c r="Q42" s="47">
        <f>Dados!T25</f>
        <v>0</v>
      </c>
      <c r="R42" s="47">
        <f>Dados!U25</f>
        <v>0</v>
      </c>
      <c r="S42" s="47">
        <f>Dados!V25</f>
        <v>0</v>
      </c>
      <c r="T42" s="47">
        <f>Dados!W25</f>
        <v>0</v>
      </c>
      <c r="U42" s="47">
        <f>Dados!X25</f>
        <v>0</v>
      </c>
      <c r="V42" s="47">
        <f>Dados!Y25</f>
        <v>0</v>
      </c>
      <c r="W42" s="47">
        <f>Dados!Z25</f>
        <v>0</v>
      </c>
      <c r="X42" s="47">
        <f>Dados!AA25</f>
        <v>0</v>
      </c>
      <c r="Y42" s="47">
        <f>Dados!AB25</f>
        <v>0</v>
      </c>
      <c r="Z42" s="47">
        <f>Dados!AC25</f>
        <v>0</v>
      </c>
      <c r="AA42" s="47">
        <f>Dados!AD25</f>
        <v>0</v>
      </c>
      <c r="AB42" s="79">
        <f>Dados!AE25</f>
        <v>0</v>
      </c>
      <c r="AC42" s="48">
        <f t="shared" si="0"/>
        <v>0</v>
      </c>
    </row>
    <row r="43" spans="1:29">
      <c r="A43" s="85">
        <f>Dados!D26</f>
        <v>45778</v>
      </c>
      <c r="B43" s="47">
        <f>Dados!E26</f>
        <v>0</v>
      </c>
      <c r="C43" s="47">
        <f>Dados!F26</f>
        <v>0</v>
      </c>
      <c r="D43" s="47">
        <f>Dados!G26</f>
        <v>0</v>
      </c>
      <c r="E43" s="47">
        <f>Dados!H26</f>
        <v>0</v>
      </c>
      <c r="F43" s="47">
        <f>Dados!I26</f>
        <v>0</v>
      </c>
      <c r="G43" s="47">
        <f>Dados!J26</f>
        <v>0</v>
      </c>
      <c r="H43" s="47">
        <f>Dados!K26</f>
        <v>0</v>
      </c>
      <c r="I43" s="47">
        <f>Dados!L26</f>
        <v>0</v>
      </c>
      <c r="J43" s="47">
        <f>Dados!M26</f>
        <v>0</v>
      </c>
      <c r="K43" s="47">
        <f>Dados!N26</f>
        <v>0</v>
      </c>
      <c r="L43" s="47">
        <f>Dados!O26</f>
        <v>0</v>
      </c>
      <c r="M43" s="47">
        <f>Dados!P26</f>
        <v>0</v>
      </c>
      <c r="N43" s="47">
        <f>Dados!Q26</f>
        <v>0</v>
      </c>
      <c r="O43" s="47">
        <f>Dados!R26</f>
        <v>0</v>
      </c>
      <c r="P43" s="47">
        <f>Dados!S26</f>
        <v>0</v>
      </c>
      <c r="Q43" s="47">
        <f>Dados!T26</f>
        <v>0</v>
      </c>
      <c r="R43" s="47">
        <f>Dados!U26</f>
        <v>0</v>
      </c>
      <c r="S43" s="47">
        <f>Dados!V26</f>
        <v>0</v>
      </c>
      <c r="T43" s="47">
        <f>Dados!W26</f>
        <v>0</v>
      </c>
      <c r="U43" s="47">
        <f>Dados!X26</f>
        <v>0</v>
      </c>
      <c r="V43" s="47">
        <f>Dados!Y26</f>
        <v>0</v>
      </c>
      <c r="W43" s="47">
        <f>Dados!Z26</f>
        <v>0</v>
      </c>
      <c r="X43" s="47">
        <f>Dados!AA26</f>
        <v>0</v>
      </c>
      <c r="Y43" s="47">
        <f>Dados!AB26</f>
        <v>0</v>
      </c>
      <c r="Z43" s="47">
        <f>Dados!AC26</f>
        <v>0</v>
      </c>
      <c r="AA43" s="47">
        <f>Dados!AD26</f>
        <v>0</v>
      </c>
      <c r="AB43" s="79">
        <f>Dados!AE26</f>
        <v>0</v>
      </c>
      <c r="AC43" s="48">
        <f t="shared" si="0"/>
        <v>0</v>
      </c>
    </row>
    <row r="44" spans="1:29">
      <c r="A44" s="85">
        <f>Dados!D27</f>
        <v>45809</v>
      </c>
      <c r="B44" s="47">
        <f>Dados!E27</f>
        <v>0</v>
      </c>
      <c r="C44" s="47">
        <f>Dados!F27</f>
        <v>0</v>
      </c>
      <c r="D44" s="47">
        <f>Dados!G27</f>
        <v>0</v>
      </c>
      <c r="E44" s="47">
        <f>Dados!H27</f>
        <v>0</v>
      </c>
      <c r="F44" s="47">
        <f>Dados!I27</f>
        <v>0</v>
      </c>
      <c r="G44" s="47">
        <f>Dados!J27</f>
        <v>0</v>
      </c>
      <c r="H44" s="47">
        <f>Dados!K27</f>
        <v>0</v>
      </c>
      <c r="I44" s="47">
        <f>Dados!L27</f>
        <v>0</v>
      </c>
      <c r="J44" s="47">
        <f>Dados!M27</f>
        <v>0</v>
      </c>
      <c r="K44" s="47">
        <f>Dados!N27</f>
        <v>0</v>
      </c>
      <c r="L44" s="47">
        <f>Dados!O27</f>
        <v>0</v>
      </c>
      <c r="M44" s="47">
        <f>Dados!P27</f>
        <v>0</v>
      </c>
      <c r="N44" s="47">
        <f>Dados!Q27</f>
        <v>0</v>
      </c>
      <c r="O44" s="47">
        <f>Dados!R27</f>
        <v>0</v>
      </c>
      <c r="P44" s="47">
        <f>Dados!S27</f>
        <v>0</v>
      </c>
      <c r="Q44" s="47">
        <f>Dados!T27</f>
        <v>0</v>
      </c>
      <c r="R44" s="47">
        <f>Dados!U27</f>
        <v>0</v>
      </c>
      <c r="S44" s="47">
        <f>Dados!V27</f>
        <v>0</v>
      </c>
      <c r="T44" s="47">
        <f>Dados!W27</f>
        <v>0</v>
      </c>
      <c r="U44" s="47">
        <f>Dados!X27</f>
        <v>0</v>
      </c>
      <c r="V44" s="47">
        <f>Dados!Y27</f>
        <v>0</v>
      </c>
      <c r="W44" s="47">
        <f>Dados!Z27</f>
        <v>0</v>
      </c>
      <c r="X44" s="47">
        <f>Dados!AA27</f>
        <v>0</v>
      </c>
      <c r="Y44" s="47">
        <f>Dados!AB27</f>
        <v>0</v>
      </c>
      <c r="Z44" s="47">
        <f>Dados!AC27</f>
        <v>0</v>
      </c>
      <c r="AA44" s="47">
        <f>Dados!AD27</f>
        <v>0</v>
      </c>
      <c r="AB44" s="79">
        <f>Dados!AE27</f>
        <v>0</v>
      </c>
      <c r="AC44" s="48">
        <f t="shared" si="0"/>
        <v>0</v>
      </c>
    </row>
    <row r="45" spans="1:29">
      <c r="A45" s="85">
        <f>Dados!D28</f>
        <v>45839</v>
      </c>
      <c r="B45" s="47">
        <f>Dados!E28</f>
        <v>0</v>
      </c>
      <c r="C45" s="47">
        <f>Dados!F28</f>
        <v>0</v>
      </c>
      <c r="D45" s="47">
        <f>Dados!G28</f>
        <v>0</v>
      </c>
      <c r="E45" s="47">
        <f>Dados!H28</f>
        <v>0</v>
      </c>
      <c r="F45" s="47">
        <f>Dados!I28</f>
        <v>0</v>
      </c>
      <c r="G45" s="47">
        <f>Dados!J28</f>
        <v>0</v>
      </c>
      <c r="H45" s="47">
        <f>Dados!K28</f>
        <v>0</v>
      </c>
      <c r="I45" s="47">
        <f>Dados!L28</f>
        <v>0</v>
      </c>
      <c r="J45" s="47">
        <f>Dados!M28</f>
        <v>0</v>
      </c>
      <c r="K45" s="47">
        <f>Dados!N28</f>
        <v>0</v>
      </c>
      <c r="L45" s="47">
        <f>Dados!O28</f>
        <v>0</v>
      </c>
      <c r="M45" s="47">
        <f>Dados!P28</f>
        <v>0</v>
      </c>
      <c r="N45" s="47">
        <f>Dados!Q28</f>
        <v>0</v>
      </c>
      <c r="O45" s="47">
        <f>Dados!R28</f>
        <v>0</v>
      </c>
      <c r="P45" s="47">
        <f>Dados!S28</f>
        <v>0</v>
      </c>
      <c r="Q45" s="47">
        <f>Dados!T28</f>
        <v>0</v>
      </c>
      <c r="R45" s="47">
        <f>Dados!U28</f>
        <v>0</v>
      </c>
      <c r="S45" s="47">
        <f>Dados!V28</f>
        <v>0</v>
      </c>
      <c r="T45" s="47">
        <f>Dados!W28</f>
        <v>0</v>
      </c>
      <c r="U45" s="47">
        <f>Dados!X28</f>
        <v>0</v>
      </c>
      <c r="V45" s="47">
        <f>Dados!Y28</f>
        <v>0</v>
      </c>
      <c r="W45" s="47">
        <f>Dados!Z28</f>
        <v>0</v>
      </c>
      <c r="X45" s="47">
        <f>Dados!AA28</f>
        <v>0</v>
      </c>
      <c r="Y45" s="47">
        <f>Dados!AB28</f>
        <v>0</v>
      </c>
      <c r="Z45" s="47">
        <f>Dados!AC28</f>
        <v>0</v>
      </c>
      <c r="AA45" s="47">
        <f>Dados!AD28</f>
        <v>0</v>
      </c>
      <c r="AB45" s="79">
        <f>Dados!AE28</f>
        <v>0</v>
      </c>
      <c r="AC45" s="48">
        <f t="shared" si="0"/>
        <v>0</v>
      </c>
    </row>
    <row r="46" spans="1:29">
      <c r="A46" s="85">
        <f>Dados!D29</f>
        <v>45870</v>
      </c>
      <c r="B46" s="47">
        <f>Dados!E29</f>
        <v>0</v>
      </c>
      <c r="C46" s="47">
        <f>Dados!F29</f>
        <v>0</v>
      </c>
      <c r="D46" s="47">
        <f>Dados!G29</f>
        <v>0</v>
      </c>
      <c r="E46" s="47">
        <f>Dados!H29</f>
        <v>0</v>
      </c>
      <c r="F46" s="47">
        <f>Dados!I29</f>
        <v>0</v>
      </c>
      <c r="G46" s="47">
        <f>Dados!J29</f>
        <v>0</v>
      </c>
      <c r="H46" s="47">
        <f>Dados!K29</f>
        <v>0</v>
      </c>
      <c r="I46" s="47">
        <f>Dados!L29</f>
        <v>0</v>
      </c>
      <c r="J46" s="47">
        <f>Dados!M29</f>
        <v>0</v>
      </c>
      <c r="K46" s="47">
        <f>Dados!N29</f>
        <v>0</v>
      </c>
      <c r="L46" s="47">
        <f>Dados!O29</f>
        <v>0</v>
      </c>
      <c r="M46" s="47">
        <f>Dados!P29</f>
        <v>0</v>
      </c>
      <c r="N46" s="47">
        <f>Dados!Q29</f>
        <v>0</v>
      </c>
      <c r="O46" s="47">
        <f>Dados!R29</f>
        <v>0</v>
      </c>
      <c r="P46" s="47">
        <f>Dados!S29</f>
        <v>0</v>
      </c>
      <c r="Q46" s="47">
        <f>Dados!T29</f>
        <v>0</v>
      </c>
      <c r="R46" s="47">
        <f>Dados!U29</f>
        <v>0</v>
      </c>
      <c r="S46" s="47">
        <f>Dados!V29</f>
        <v>0</v>
      </c>
      <c r="T46" s="47">
        <f>Dados!W29</f>
        <v>0</v>
      </c>
      <c r="U46" s="47">
        <f>Dados!X29</f>
        <v>0</v>
      </c>
      <c r="V46" s="47">
        <f>Dados!Y29</f>
        <v>0</v>
      </c>
      <c r="W46" s="47">
        <f>Dados!Z29</f>
        <v>0</v>
      </c>
      <c r="X46" s="47">
        <f>Dados!AA29</f>
        <v>0</v>
      </c>
      <c r="Y46" s="47">
        <f>Dados!AB29</f>
        <v>0</v>
      </c>
      <c r="Z46" s="47">
        <f>Dados!AC29</f>
        <v>0</v>
      </c>
      <c r="AA46" s="47">
        <f>Dados!AD29</f>
        <v>0</v>
      </c>
      <c r="AB46" s="79">
        <f>Dados!AE29</f>
        <v>0</v>
      </c>
      <c r="AC46" s="48">
        <f t="shared" si="0"/>
        <v>0</v>
      </c>
    </row>
    <row r="47" spans="1:29">
      <c r="A47" s="85">
        <f>Dados!D30</f>
        <v>45901</v>
      </c>
      <c r="B47" s="47">
        <f>Dados!E30</f>
        <v>0</v>
      </c>
      <c r="C47" s="47">
        <f>Dados!F30</f>
        <v>0</v>
      </c>
      <c r="D47" s="47">
        <f>Dados!G30</f>
        <v>0</v>
      </c>
      <c r="E47" s="47">
        <f>Dados!H30</f>
        <v>0</v>
      </c>
      <c r="F47" s="47">
        <f>Dados!I30</f>
        <v>0</v>
      </c>
      <c r="G47" s="47">
        <f>Dados!J30</f>
        <v>0</v>
      </c>
      <c r="H47" s="47">
        <f>Dados!K30</f>
        <v>0</v>
      </c>
      <c r="I47" s="47">
        <f>Dados!L30</f>
        <v>0</v>
      </c>
      <c r="J47" s="47">
        <f>Dados!M30</f>
        <v>0</v>
      </c>
      <c r="K47" s="47">
        <f>Dados!N30</f>
        <v>0</v>
      </c>
      <c r="L47" s="47">
        <f>Dados!O30</f>
        <v>0</v>
      </c>
      <c r="M47" s="47">
        <f>Dados!P30</f>
        <v>0</v>
      </c>
      <c r="N47" s="47">
        <f>Dados!Q30</f>
        <v>0</v>
      </c>
      <c r="O47" s="47">
        <f>Dados!R30</f>
        <v>0</v>
      </c>
      <c r="P47" s="47">
        <f>Dados!S30</f>
        <v>0</v>
      </c>
      <c r="Q47" s="47">
        <f>Dados!T30</f>
        <v>0</v>
      </c>
      <c r="R47" s="47">
        <f>Dados!U30</f>
        <v>0</v>
      </c>
      <c r="S47" s="47">
        <f>Dados!V30</f>
        <v>0</v>
      </c>
      <c r="T47" s="47">
        <f>Dados!W30</f>
        <v>0</v>
      </c>
      <c r="U47" s="47">
        <f>Dados!X30</f>
        <v>0</v>
      </c>
      <c r="V47" s="47">
        <f>Dados!Y30</f>
        <v>0</v>
      </c>
      <c r="W47" s="47">
        <f>Dados!Z30</f>
        <v>0</v>
      </c>
      <c r="X47" s="47">
        <f>Dados!AA30</f>
        <v>0</v>
      </c>
      <c r="Y47" s="47">
        <f>Dados!AB30</f>
        <v>0</v>
      </c>
      <c r="Z47" s="47">
        <f>Dados!AC30</f>
        <v>0</v>
      </c>
      <c r="AA47" s="47">
        <f>Dados!AD30</f>
        <v>0</v>
      </c>
      <c r="AB47" s="79">
        <f>Dados!AE30</f>
        <v>0</v>
      </c>
      <c r="AC47" s="48">
        <f t="shared" si="0"/>
        <v>0</v>
      </c>
    </row>
    <row r="48" spans="1:29">
      <c r="A48" s="85">
        <f>Dados!D31</f>
        <v>45931</v>
      </c>
      <c r="B48" s="47">
        <f>Dados!E31</f>
        <v>0</v>
      </c>
      <c r="C48" s="47">
        <f>Dados!F31</f>
        <v>0</v>
      </c>
      <c r="D48" s="47">
        <f>Dados!G31</f>
        <v>0</v>
      </c>
      <c r="E48" s="47">
        <f>Dados!H31</f>
        <v>0</v>
      </c>
      <c r="F48" s="47">
        <f>Dados!I31</f>
        <v>0</v>
      </c>
      <c r="G48" s="47">
        <f>Dados!J31</f>
        <v>0</v>
      </c>
      <c r="H48" s="47">
        <f>Dados!K31</f>
        <v>0</v>
      </c>
      <c r="I48" s="47">
        <f>Dados!L31</f>
        <v>0</v>
      </c>
      <c r="J48" s="47">
        <f>Dados!M31</f>
        <v>0</v>
      </c>
      <c r="K48" s="47">
        <f>Dados!N31</f>
        <v>0</v>
      </c>
      <c r="L48" s="47">
        <f>Dados!O31</f>
        <v>0</v>
      </c>
      <c r="M48" s="47">
        <f>Dados!P31</f>
        <v>0</v>
      </c>
      <c r="N48" s="47">
        <f>Dados!Q31</f>
        <v>0</v>
      </c>
      <c r="O48" s="47">
        <f>Dados!R31</f>
        <v>0</v>
      </c>
      <c r="P48" s="47">
        <f>Dados!S31</f>
        <v>0</v>
      </c>
      <c r="Q48" s="47">
        <f>Dados!T31</f>
        <v>0</v>
      </c>
      <c r="R48" s="47">
        <f>Dados!U31</f>
        <v>0</v>
      </c>
      <c r="S48" s="47">
        <f>Dados!V31</f>
        <v>0</v>
      </c>
      <c r="T48" s="47">
        <f>Dados!W31</f>
        <v>0</v>
      </c>
      <c r="U48" s="47">
        <f>Dados!X31</f>
        <v>0</v>
      </c>
      <c r="V48" s="47">
        <f>Dados!Y31</f>
        <v>0</v>
      </c>
      <c r="W48" s="47">
        <f>Dados!Z31</f>
        <v>0</v>
      </c>
      <c r="X48" s="47">
        <f>Dados!AA31</f>
        <v>0</v>
      </c>
      <c r="Y48" s="47">
        <f>Dados!AB31</f>
        <v>0</v>
      </c>
      <c r="Z48" s="47">
        <f>Dados!AC31</f>
        <v>0</v>
      </c>
      <c r="AA48" s="47">
        <f>Dados!AD31</f>
        <v>0</v>
      </c>
      <c r="AB48" s="79">
        <f>Dados!AE31</f>
        <v>0</v>
      </c>
      <c r="AC48" s="48">
        <f t="shared" si="0"/>
        <v>0</v>
      </c>
    </row>
    <row r="49" spans="1:29">
      <c r="A49" s="85">
        <f>Dados!D32</f>
        <v>45962</v>
      </c>
      <c r="B49" s="47">
        <f>Dados!E32</f>
        <v>0</v>
      </c>
      <c r="C49" s="47">
        <f>Dados!F32</f>
        <v>0</v>
      </c>
      <c r="D49" s="47">
        <f>Dados!G32</f>
        <v>0</v>
      </c>
      <c r="E49" s="47">
        <f>Dados!H32</f>
        <v>0</v>
      </c>
      <c r="F49" s="47">
        <f>Dados!I32</f>
        <v>0</v>
      </c>
      <c r="G49" s="47">
        <f>Dados!J32</f>
        <v>0</v>
      </c>
      <c r="H49" s="47">
        <f>Dados!K32</f>
        <v>0</v>
      </c>
      <c r="I49" s="47">
        <f>Dados!L32</f>
        <v>0</v>
      </c>
      <c r="J49" s="47">
        <f>Dados!M32</f>
        <v>0</v>
      </c>
      <c r="K49" s="47">
        <f>Dados!N32</f>
        <v>0</v>
      </c>
      <c r="L49" s="47">
        <f>Dados!O32</f>
        <v>0</v>
      </c>
      <c r="M49" s="47">
        <f>Dados!P32</f>
        <v>0</v>
      </c>
      <c r="N49" s="47">
        <f>Dados!Q32</f>
        <v>0</v>
      </c>
      <c r="O49" s="47">
        <f>Dados!R32</f>
        <v>0</v>
      </c>
      <c r="P49" s="47">
        <f>Dados!S32</f>
        <v>0</v>
      </c>
      <c r="Q49" s="47">
        <f>Dados!T32</f>
        <v>0</v>
      </c>
      <c r="R49" s="47">
        <f>Dados!U32</f>
        <v>0</v>
      </c>
      <c r="S49" s="47">
        <f>Dados!V32</f>
        <v>0</v>
      </c>
      <c r="T49" s="47">
        <f>Dados!W32</f>
        <v>0</v>
      </c>
      <c r="U49" s="47">
        <f>Dados!X32</f>
        <v>0</v>
      </c>
      <c r="V49" s="47">
        <f>Dados!Y32</f>
        <v>0</v>
      </c>
      <c r="W49" s="47">
        <f>Dados!Z32</f>
        <v>0</v>
      </c>
      <c r="X49" s="47">
        <f>Dados!AA32</f>
        <v>0</v>
      </c>
      <c r="Y49" s="47">
        <f>Dados!AB32</f>
        <v>0</v>
      </c>
      <c r="Z49" s="47">
        <f>Dados!AC32</f>
        <v>0</v>
      </c>
      <c r="AA49" s="47">
        <f>Dados!AD32</f>
        <v>0</v>
      </c>
      <c r="AB49" s="79">
        <f>Dados!AE32</f>
        <v>0</v>
      </c>
      <c r="AC49" s="48">
        <f t="shared" si="0"/>
        <v>0</v>
      </c>
    </row>
    <row r="50" spans="1:29">
      <c r="A50" s="86">
        <f>Dados!D33</f>
        <v>45992</v>
      </c>
      <c r="B50" s="80">
        <f>Dados!E33</f>
        <v>0</v>
      </c>
      <c r="C50" s="80">
        <f>Dados!F33</f>
        <v>0</v>
      </c>
      <c r="D50" s="80">
        <f>Dados!G33</f>
        <v>0</v>
      </c>
      <c r="E50" s="80">
        <f>Dados!H33</f>
        <v>0</v>
      </c>
      <c r="F50" s="80">
        <f>Dados!I33</f>
        <v>0</v>
      </c>
      <c r="G50" s="80">
        <f>Dados!J33</f>
        <v>0</v>
      </c>
      <c r="H50" s="80">
        <f>Dados!K33</f>
        <v>0</v>
      </c>
      <c r="I50" s="80">
        <f>Dados!L33</f>
        <v>0</v>
      </c>
      <c r="J50" s="80">
        <f>Dados!M33</f>
        <v>0</v>
      </c>
      <c r="K50" s="80">
        <f>Dados!N33</f>
        <v>0</v>
      </c>
      <c r="L50" s="80">
        <f>Dados!O33</f>
        <v>0</v>
      </c>
      <c r="M50" s="80">
        <f>Dados!P33</f>
        <v>0</v>
      </c>
      <c r="N50" s="80">
        <f>Dados!Q33</f>
        <v>0</v>
      </c>
      <c r="O50" s="80">
        <f>Dados!R33</f>
        <v>0</v>
      </c>
      <c r="P50" s="80">
        <f>Dados!S33</f>
        <v>0</v>
      </c>
      <c r="Q50" s="80">
        <f>Dados!T33</f>
        <v>0</v>
      </c>
      <c r="R50" s="80">
        <f>Dados!U33</f>
        <v>0</v>
      </c>
      <c r="S50" s="80">
        <f>Dados!V33</f>
        <v>0</v>
      </c>
      <c r="T50" s="80">
        <f>Dados!W33</f>
        <v>0</v>
      </c>
      <c r="U50" s="80">
        <f>Dados!X33</f>
        <v>0</v>
      </c>
      <c r="V50" s="80">
        <f>Dados!Y33</f>
        <v>0</v>
      </c>
      <c r="W50" s="80">
        <f>Dados!Z33</f>
        <v>0</v>
      </c>
      <c r="X50" s="80">
        <f>Dados!AA33</f>
        <v>0</v>
      </c>
      <c r="Y50" s="80">
        <f>Dados!AB33</f>
        <v>0</v>
      </c>
      <c r="Z50" s="80">
        <f>Dados!AC33</f>
        <v>0</v>
      </c>
      <c r="AA50" s="80">
        <f>Dados!AD33</f>
        <v>0</v>
      </c>
      <c r="AB50" s="81">
        <f>Dados!AE33</f>
        <v>0</v>
      </c>
      <c r="AC50" s="48">
        <f t="shared" si="0"/>
        <v>0</v>
      </c>
    </row>
    <row r="51" spans="1:29" ht="15.75">
      <c r="A51" s="55" t="s">
        <v>82</v>
      </c>
      <c r="B51" s="56">
        <f>SUM(B39:B44)</f>
        <v>0</v>
      </c>
      <c r="C51" s="56">
        <f t="shared" ref="C51:AB51" si="1">SUM(C39:C44)</f>
        <v>0</v>
      </c>
      <c r="D51" s="56">
        <f t="shared" si="1"/>
        <v>0</v>
      </c>
      <c r="E51" s="56">
        <f t="shared" si="1"/>
        <v>0</v>
      </c>
      <c r="F51" s="56">
        <f t="shared" si="1"/>
        <v>0</v>
      </c>
      <c r="G51" s="56">
        <f t="shared" si="1"/>
        <v>0</v>
      </c>
      <c r="H51" s="56">
        <f t="shared" si="1"/>
        <v>0</v>
      </c>
      <c r="I51" s="56">
        <f t="shared" si="1"/>
        <v>0</v>
      </c>
      <c r="J51" s="56">
        <f t="shared" si="1"/>
        <v>0</v>
      </c>
      <c r="K51" s="56">
        <f t="shared" si="1"/>
        <v>0</v>
      </c>
      <c r="L51" s="56">
        <f t="shared" si="1"/>
        <v>0</v>
      </c>
      <c r="M51" s="56">
        <f t="shared" si="1"/>
        <v>0</v>
      </c>
      <c r="N51" s="56">
        <f t="shared" si="1"/>
        <v>0</v>
      </c>
      <c r="O51" s="56">
        <f t="shared" si="1"/>
        <v>0</v>
      </c>
      <c r="P51" s="56">
        <f t="shared" si="1"/>
        <v>0</v>
      </c>
      <c r="Q51" s="56">
        <f t="shared" si="1"/>
        <v>0</v>
      </c>
      <c r="R51" s="56">
        <f t="shared" si="1"/>
        <v>0</v>
      </c>
      <c r="S51" s="56">
        <f t="shared" si="1"/>
        <v>0</v>
      </c>
      <c r="T51" s="56">
        <f t="shared" si="1"/>
        <v>0</v>
      </c>
      <c r="U51" s="56">
        <f t="shared" si="1"/>
        <v>0</v>
      </c>
      <c r="V51" s="56">
        <f t="shared" si="1"/>
        <v>0</v>
      </c>
      <c r="W51" s="56">
        <f t="shared" si="1"/>
        <v>0</v>
      </c>
      <c r="X51" s="56">
        <f t="shared" si="1"/>
        <v>0</v>
      </c>
      <c r="Y51" s="56">
        <f t="shared" si="1"/>
        <v>0</v>
      </c>
      <c r="Z51" s="56">
        <f t="shared" si="1"/>
        <v>0</v>
      </c>
      <c r="AA51" s="56">
        <f t="shared" si="1"/>
        <v>0</v>
      </c>
      <c r="AB51" s="56">
        <f t="shared" si="1"/>
        <v>0</v>
      </c>
      <c r="AC51" s="57">
        <f>SUM(AC39:AC44)</f>
        <v>0</v>
      </c>
    </row>
    <row r="52" spans="1:29" ht="15.75">
      <c r="A52" s="55" t="s">
        <v>83</v>
      </c>
      <c r="B52" s="56">
        <f>SUM(B45:B50)</f>
        <v>0</v>
      </c>
      <c r="C52" s="56">
        <f t="shared" ref="C52:AB52" si="2">SUM(C45:C50)</f>
        <v>0</v>
      </c>
      <c r="D52" s="56">
        <f t="shared" si="2"/>
        <v>0</v>
      </c>
      <c r="E52" s="56">
        <f t="shared" si="2"/>
        <v>0</v>
      </c>
      <c r="F52" s="56">
        <f t="shared" si="2"/>
        <v>0</v>
      </c>
      <c r="G52" s="56">
        <f t="shared" si="2"/>
        <v>0</v>
      </c>
      <c r="H52" s="56">
        <f t="shared" si="2"/>
        <v>0</v>
      </c>
      <c r="I52" s="56">
        <f t="shared" si="2"/>
        <v>0</v>
      </c>
      <c r="J52" s="56">
        <f t="shared" si="2"/>
        <v>0</v>
      </c>
      <c r="K52" s="56">
        <f t="shared" si="2"/>
        <v>0</v>
      </c>
      <c r="L52" s="56">
        <f t="shared" si="2"/>
        <v>0</v>
      </c>
      <c r="M52" s="56">
        <f t="shared" si="2"/>
        <v>0</v>
      </c>
      <c r="N52" s="56">
        <f t="shared" si="2"/>
        <v>0</v>
      </c>
      <c r="O52" s="56">
        <f t="shared" si="2"/>
        <v>0</v>
      </c>
      <c r="P52" s="56">
        <f t="shared" si="2"/>
        <v>0</v>
      </c>
      <c r="Q52" s="56">
        <f t="shared" si="2"/>
        <v>0</v>
      </c>
      <c r="R52" s="56">
        <f t="shared" si="2"/>
        <v>0</v>
      </c>
      <c r="S52" s="56">
        <f t="shared" si="2"/>
        <v>0</v>
      </c>
      <c r="T52" s="56">
        <f t="shared" si="2"/>
        <v>0</v>
      </c>
      <c r="U52" s="56">
        <f t="shared" si="2"/>
        <v>0</v>
      </c>
      <c r="V52" s="56">
        <f t="shared" si="2"/>
        <v>0</v>
      </c>
      <c r="W52" s="56">
        <f t="shared" si="2"/>
        <v>0</v>
      </c>
      <c r="X52" s="56">
        <f t="shared" si="2"/>
        <v>0</v>
      </c>
      <c r="Y52" s="56">
        <f t="shared" si="2"/>
        <v>0</v>
      </c>
      <c r="Z52" s="56">
        <f t="shared" si="2"/>
        <v>0</v>
      </c>
      <c r="AA52" s="56">
        <f t="shared" si="2"/>
        <v>0</v>
      </c>
      <c r="AB52" s="56">
        <f t="shared" si="2"/>
        <v>0</v>
      </c>
      <c r="AC52" s="57">
        <f>SUM(AC45:AC50)</f>
        <v>0</v>
      </c>
    </row>
    <row r="53" spans="1:29" ht="15.75">
      <c r="A53" s="58" t="s">
        <v>84</v>
      </c>
      <c r="B53" s="56">
        <f>B51+B52</f>
        <v>0</v>
      </c>
      <c r="C53" s="56">
        <f t="shared" ref="C53:AB53" si="3">C51+C52</f>
        <v>0</v>
      </c>
      <c r="D53" s="56">
        <f t="shared" si="3"/>
        <v>0</v>
      </c>
      <c r="E53" s="56">
        <f t="shared" si="3"/>
        <v>0</v>
      </c>
      <c r="F53" s="56">
        <f t="shared" si="3"/>
        <v>0</v>
      </c>
      <c r="G53" s="56">
        <f t="shared" si="3"/>
        <v>0</v>
      </c>
      <c r="H53" s="56">
        <f t="shared" si="3"/>
        <v>0</v>
      </c>
      <c r="I53" s="56">
        <f t="shared" si="3"/>
        <v>0</v>
      </c>
      <c r="J53" s="56">
        <f t="shared" si="3"/>
        <v>0</v>
      </c>
      <c r="K53" s="56">
        <f t="shared" si="3"/>
        <v>0</v>
      </c>
      <c r="L53" s="56">
        <f t="shared" si="3"/>
        <v>0</v>
      </c>
      <c r="M53" s="56">
        <f t="shared" si="3"/>
        <v>0</v>
      </c>
      <c r="N53" s="56">
        <f t="shared" si="3"/>
        <v>0</v>
      </c>
      <c r="O53" s="56">
        <f t="shared" si="3"/>
        <v>0</v>
      </c>
      <c r="P53" s="56">
        <f t="shared" si="3"/>
        <v>0</v>
      </c>
      <c r="Q53" s="56">
        <f t="shared" si="3"/>
        <v>0</v>
      </c>
      <c r="R53" s="56">
        <f t="shared" si="3"/>
        <v>0</v>
      </c>
      <c r="S53" s="56">
        <f t="shared" si="3"/>
        <v>0</v>
      </c>
      <c r="T53" s="56">
        <f t="shared" si="3"/>
        <v>0</v>
      </c>
      <c r="U53" s="56">
        <f t="shared" si="3"/>
        <v>0</v>
      </c>
      <c r="V53" s="56">
        <f t="shared" si="3"/>
        <v>0</v>
      </c>
      <c r="W53" s="56">
        <f t="shared" si="3"/>
        <v>0</v>
      </c>
      <c r="X53" s="56">
        <f t="shared" si="3"/>
        <v>0</v>
      </c>
      <c r="Y53" s="56">
        <f t="shared" si="3"/>
        <v>0</v>
      </c>
      <c r="Z53" s="56">
        <f t="shared" si="3"/>
        <v>0</v>
      </c>
      <c r="AA53" s="56">
        <f t="shared" si="3"/>
        <v>0</v>
      </c>
      <c r="AB53" s="56">
        <f t="shared" si="3"/>
        <v>0</v>
      </c>
      <c r="AC53" s="53">
        <f>SUM(AC51:AC52)</f>
        <v>0</v>
      </c>
    </row>
    <row r="54" spans="1:29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</row>
    <row r="55" spans="1:29" ht="409.5" customHeight="1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</row>
    <row r="56" spans="1:29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</row>
    <row r="57" spans="1:29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</row>
    <row r="58" spans="1:29"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</row>
    <row r="59" spans="1:29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</row>
    <row r="60" spans="1:29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</row>
    <row r="61" spans="1:29"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</row>
    <row r="62" spans="1:29"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</row>
    <row r="63" spans="1:29"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</row>
    <row r="64" spans="1:29"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</row>
    <row r="65" spans="2:29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</row>
    <row r="66" spans="2:29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</row>
    <row r="67" spans="2:29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</row>
    <row r="68" spans="2:29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</row>
    <row r="69" spans="2:29"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</row>
    <row r="70" spans="2:29"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</row>
    <row r="71" spans="2:29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</row>
    <row r="72" spans="2:29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</row>
    <row r="73" spans="2:29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</row>
    <row r="74" spans="2:29"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</row>
    <row r="75" spans="2:29" ht="378" customHeight="1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</row>
    <row r="76" spans="2:29"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</row>
    <row r="77" spans="2:29"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</row>
    <row r="78" spans="2:29"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</row>
    <row r="79" spans="2:29" ht="409.5" customHeight="1"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</row>
    <row r="80" spans="2:29"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</row>
    <row r="81" spans="1:29"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</row>
    <row r="82" spans="1:29"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</row>
    <row r="83" spans="1:29"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</row>
    <row r="84" spans="1:29"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</row>
    <row r="85" spans="1:29"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</row>
    <row r="86" spans="1:29"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</row>
    <row r="87" spans="1:29" ht="21">
      <c r="B87" s="210" t="s">
        <v>31</v>
      </c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54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1"/>
      <c r="AC87" s="212" t="s">
        <v>81</v>
      </c>
    </row>
    <row r="88" spans="1:29" ht="21">
      <c r="A88" s="87" t="s">
        <v>99</v>
      </c>
      <c r="B88" s="88" t="s">
        <v>40</v>
      </c>
      <c r="C88" s="88" t="s">
        <v>89</v>
      </c>
      <c r="D88" s="88" t="s">
        <v>90</v>
      </c>
      <c r="E88" s="88" t="s">
        <v>91</v>
      </c>
      <c r="F88" s="88" t="s">
        <v>52</v>
      </c>
      <c r="G88" s="88" t="s">
        <v>92</v>
      </c>
      <c r="H88" s="88" t="s">
        <v>59</v>
      </c>
      <c r="I88" s="88" t="s">
        <v>62</v>
      </c>
      <c r="J88" s="88" t="s">
        <v>64</v>
      </c>
      <c r="K88" s="88" t="s">
        <v>65</v>
      </c>
      <c r="L88" s="88" t="s">
        <v>66</v>
      </c>
      <c r="M88" s="88" t="s">
        <v>67</v>
      </c>
      <c r="N88" s="88" t="s">
        <v>68</v>
      </c>
      <c r="O88" s="88" t="s">
        <v>43</v>
      </c>
      <c r="P88" s="88" t="s">
        <v>34</v>
      </c>
      <c r="Q88" s="88" t="s">
        <v>93</v>
      </c>
      <c r="R88" s="88" t="s">
        <v>72</v>
      </c>
      <c r="S88" s="88" t="s">
        <v>73</v>
      </c>
      <c r="T88" s="88" t="s">
        <v>94</v>
      </c>
      <c r="U88" s="88" t="s">
        <v>71</v>
      </c>
      <c r="V88" s="88" t="s">
        <v>56</v>
      </c>
      <c r="W88" s="88" t="s">
        <v>69</v>
      </c>
      <c r="X88" s="88" t="s">
        <v>75</v>
      </c>
      <c r="Y88" s="88" t="s">
        <v>76</v>
      </c>
      <c r="Z88" s="88" t="s">
        <v>77</v>
      </c>
      <c r="AA88" s="88" t="s">
        <v>78</v>
      </c>
      <c r="AB88" s="89" t="s">
        <v>79</v>
      </c>
      <c r="AC88" s="212"/>
    </row>
    <row r="89" spans="1:29">
      <c r="A89" s="85">
        <f t="shared" ref="A89:P100" si="4">A39</f>
        <v>45658</v>
      </c>
      <c r="B89" s="47">
        <f t="shared" ref="B89:Q89" si="5">B39</f>
        <v>0</v>
      </c>
      <c r="C89" s="47">
        <f t="shared" si="5"/>
        <v>0</v>
      </c>
      <c r="D89" s="47">
        <f t="shared" si="5"/>
        <v>0</v>
      </c>
      <c r="E89" s="47">
        <f t="shared" si="5"/>
        <v>0</v>
      </c>
      <c r="F89" s="47">
        <f t="shared" si="5"/>
        <v>0</v>
      </c>
      <c r="G89" s="47">
        <f t="shared" si="5"/>
        <v>0</v>
      </c>
      <c r="H89" s="47">
        <f t="shared" si="5"/>
        <v>0</v>
      </c>
      <c r="I89" s="47">
        <f t="shared" si="5"/>
        <v>0</v>
      </c>
      <c r="J89" s="47">
        <f t="shared" si="5"/>
        <v>0</v>
      </c>
      <c r="K89" s="47">
        <f t="shared" si="5"/>
        <v>0</v>
      </c>
      <c r="L89" s="47">
        <f t="shared" si="5"/>
        <v>0</v>
      </c>
      <c r="M89" s="47">
        <f t="shared" si="5"/>
        <v>0</v>
      </c>
      <c r="N89" s="47">
        <f t="shared" si="5"/>
        <v>0</v>
      </c>
      <c r="O89" s="47">
        <f t="shared" si="5"/>
        <v>0</v>
      </c>
      <c r="P89" s="47">
        <f t="shared" si="5"/>
        <v>0</v>
      </c>
      <c r="Q89" s="47">
        <f t="shared" si="5"/>
        <v>0</v>
      </c>
      <c r="R89" s="47">
        <f t="shared" ref="R89:AC89" si="6">R39</f>
        <v>0</v>
      </c>
      <c r="S89" s="47">
        <f t="shared" si="6"/>
        <v>0</v>
      </c>
      <c r="T89" s="47">
        <f t="shared" si="6"/>
        <v>0</v>
      </c>
      <c r="U89" s="47">
        <f t="shared" si="6"/>
        <v>0</v>
      </c>
      <c r="V89" s="47">
        <f t="shared" si="6"/>
        <v>0</v>
      </c>
      <c r="W89" s="47">
        <f t="shared" si="6"/>
        <v>0</v>
      </c>
      <c r="X89" s="47">
        <f t="shared" si="6"/>
        <v>0</v>
      </c>
      <c r="Y89" s="47">
        <f t="shared" si="6"/>
        <v>0</v>
      </c>
      <c r="Z89" s="47">
        <f t="shared" si="6"/>
        <v>0</v>
      </c>
      <c r="AA89" s="47">
        <f t="shared" si="6"/>
        <v>0</v>
      </c>
      <c r="AB89" s="47">
        <f t="shared" si="6"/>
        <v>0</v>
      </c>
      <c r="AC89" s="47">
        <f t="shared" si="6"/>
        <v>0</v>
      </c>
    </row>
    <row r="90" spans="1:29">
      <c r="A90" s="85">
        <f t="shared" si="4"/>
        <v>45689</v>
      </c>
      <c r="B90" s="47">
        <f t="shared" si="4"/>
        <v>0</v>
      </c>
      <c r="C90" s="47">
        <f t="shared" si="4"/>
        <v>0</v>
      </c>
      <c r="D90" s="47">
        <f t="shared" si="4"/>
        <v>0</v>
      </c>
      <c r="E90" s="47">
        <f t="shared" si="4"/>
        <v>0</v>
      </c>
      <c r="F90" s="47">
        <f t="shared" si="4"/>
        <v>0</v>
      </c>
      <c r="G90" s="47">
        <f t="shared" si="4"/>
        <v>0</v>
      </c>
      <c r="H90" s="47">
        <f t="shared" si="4"/>
        <v>0</v>
      </c>
      <c r="I90" s="47">
        <f t="shared" si="4"/>
        <v>0</v>
      </c>
      <c r="J90" s="47">
        <f t="shared" si="4"/>
        <v>0</v>
      </c>
      <c r="K90" s="47">
        <f t="shared" si="4"/>
        <v>0</v>
      </c>
      <c r="L90" s="47">
        <f t="shared" si="4"/>
        <v>0</v>
      </c>
      <c r="M90" s="47">
        <f t="shared" si="4"/>
        <v>0</v>
      </c>
      <c r="N90" s="47">
        <f t="shared" si="4"/>
        <v>0</v>
      </c>
      <c r="O90" s="47">
        <f t="shared" si="4"/>
        <v>0</v>
      </c>
      <c r="P90" s="47">
        <f t="shared" si="4"/>
        <v>0</v>
      </c>
      <c r="Q90" s="47">
        <f t="shared" ref="Q90:AC90" si="7">Q40</f>
        <v>0</v>
      </c>
      <c r="R90" s="47">
        <f t="shared" si="7"/>
        <v>0</v>
      </c>
      <c r="S90" s="47">
        <f t="shared" si="7"/>
        <v>0</v>
      </c>
      <c r="T90" s="47">
        <f t="shared" si="7"/>
        <v>0</v>
      </c>
      <c r="U90" s="47">
        <f t="shared" si="7"/>
        <v>0</v>
      </c>
      <c r="V90" s="47">
        <f t="shared" si="7"/>
        <v>0</v>
      </c>
      <c r="W90" s="47">
        <f t="shared" si="7"/>
        <v>0</v>
      </c>
      <c r="X90" s="47">
        <f t="shared" si="7"/>
        <v>0</v>
      </c>
      <c r="Y90" s="47">
        <f t="shared" si="7"/>
        <v>0</v>
      </c>
      <c r="Z90" s="47">
        <f t="shared" si="7"/>
        <v>0</v>
      </c>
      <c r="AA90" s="47">
        <f t="shared" si="7"/>
        <v>0</v>
      </c>
      <c r="AB90" s="47">
        <f t="shared" si="7"/>
        <v>0</v>
      </c>
      <c r="AC90" s="47">
        <f t="shared" si="7"/>
        <v>0</v>
      </c>
    </row>
    <row r="91" spans="1:29">
      <c r="A91" s="85">
        <f t="shared" si="4"/>
        <v>45717</v>
      </c>
      <c r="B91" s="47">
        <f t="shared" si="4"/>
        <v>0</v>
      </c>
      <c r="C91" s="47">
        <f t="shared" si="4"/>
        <v>0</v>
      </c>
      <c r="D91" s="47">
        <f t="shared" si="4"/>
        <v>0</v>
      </c>
      <c r="E91" s="47">
        <f t="shared" si="4"/>
        <v>0</v>
      </c>
      <c r="F91" s="47">
        <f t="shared" si="4"/>
        <v>0</v>
      </c>
      <c r="G91" s="47">
        <f t="shared" si="4"/>
        <v>0</v>
      </c>
      <c r="H91" s="47">
        <f t="shared" si="4"/>
        <v>0</v>
      </c>
      <c r="I91" s="47">
        <f t="shared" si="4"/>
        <v>0</v>
      </c>
      <c r="J91" s="47">
        <f t="shared" si="4"/>
        <v>0</v>
      </c>
      <c r="K91" s="47">
        <f t="shared" si="4"/>
        <v>0</v>
      </c>
      <c r="L91" s="47">
        <f t="shared" si="4"/>
        <v>0</v>
      </c>
      <c r="M91" s="47">
        <f t="shared" si="4"/>
        <v>0</v>
      </c>
      <c r="N91" s="47">
        <f t="shared" si="4"/>
        <v>0</v>
      </c>
      <c r="O91" s="47">
        <f t="shared" si="4"/>
        <v>0</v>
      </c>
      <c r="P91" s="47">
        <f t="shared" si="4"/>
        <v>0</v>
      </c>
      <c r="Q91" s="47">
        <f t="shared" ref="Q91:AC91" si="8">Q41</f>
        <v>0</v>
      </c>
      <c r="R91" s="47">
        <f t="shared" si="8"/>
        <v>0</v>
      </c>
      <c r="S91" s="47">
        <f t="shared" si="8"/>
        <v>0</v>
      </c>
      <c r="T91" s="47">
        <f t="shared" si="8"/>
        <v>0</v>
      </c>
      <c r="U91" s="47">
        <f t="shared" si="8"/>
        <v>0</v>
      </c>
      <c r="V91" s="47">
        <f t="shared" si="8"/>
        <v>0</v>
      </c>
      <c r="W91" s="47">
        <f t="shared" si="8"/>
        <v>0</v>
      </c>
      <c r="X91" s="47">
        <f t="shared" si="8"/>
        <v>0</v>
      </c>
      <c r="Y91" s="47">
        <f t="shared" si="8"/>
        <v>0</v>
      </c>
      <c r="Z91" s="47">
        <f t="shared" si="8"/>
        <v>0</v>
      </c>
      <c r="AA91" s="47">
        <f t="shared" si="8"/>
        <v>0</v>
      </c>
      <c r="AB91" s="47">
        <f t="shared" si="8"/>
        <v>0</v>
      </c>
      <c r="AC91" s="47">
        <f t="shared" si="8"/>
        <v>0</v>
      </c>
    </row>
    <row r="92" spans="1:29">
      <c r="A92" s="85">
        <f t="shared" si="4"/>
        <v>45748</v>
      </c>
      <c r="B92" s="47">
        <f t="shared" si="4"/>
        <v>0</v>
      </c>
      <c r="C92" s="47">
        <f t="shared" si="4"/>
        <v>0</v>
      </c>
      <c r="D92" s="47">
        <f t="shared" si="4"/>
        <v>0</v>
      </c>
      <c r="E92" s="47">
        <f t="shared" si="4"/>
        <v>0</v>
      </c>
      <c r="F92" s="47">
        <f t="shared" si="4"/>
        <v>0</v>
      </c>
      <c r="G92" s="47">
        <f t="shared" si="4"/>
        <v>0</v>
      </c>
      <c r="H92" s="47">
        <f t="shared" si="4"/>
        <v>0</v>
      </c>
      <c r="I92" s="47">
        <f t="shared" si="4"/>
        <v>0</v>
      </c>
      <c r="J92" s="47">
        <f t="shared" si="4"/>
        <v>0</v>
      </c>
      <c r="K92" s="47">
        <f t="shared" si="4"/>
        <v>0</v>
      </c>
      <c r="L92" s="47">
        <f t="shared" si="4"/>
        <v>0</v>
      </c>
      <c r="M92" s="47">
        <f t="shared" si="4"/>
        <v>0</v>
      </c>
      <c r="N92" s="47">
        <f t="shared" si="4"/>
        <v>0</v>
      </c>
      <c r="O92" s="47">
        <f t="shared" si="4"/>
        <v>0</v>
      </c>
      <c r="P92" s="47">
        <f t="shared" si="4"/>
        <v>0</v>
      </c>
      <c r="Q92" s="47">
        <f t="shared" ref="Q92:AC92" si="9">Q42</f>
        <v>0</v>
      </c>
      <c r="R92" s="47">
        <f t="shared" si="9"/>
        <v>0</v>
      </c>
      <c r="S92" s="47">
        <f t="shared" si="9"/>
        <v>0</v>
      </c>
      <c r="T92" s="47">
        <f t="shared" si="9"/>
        <v>0</v>
      </c>
      <c r="U92" s="47">
        <f t="shared" si="9"/>
        <v>0</v>
      </c>
      <c r="V92" s="47">
        <f t="shared" si="9"/>
        <v>0</v>
      </c>
      <c r="W92" s="47">
        <f t="shared" si="9"/>
        <v>0</v>
      </c>
      <c r="X92" s="47">
        <f t="shared" si="9"/>
        <v>0</v>
      </c>
      <c r="Y92" s="47">
        <f t="shared" si="9"/>
        <v>0</v>
      </c>
      <c r="Z92" s="47">
        <f t="shared" si="9"/>
        <v>0</v>
      </c>
      <c r="AA92" s="47">
        <f t="shared" si="9"/>
        <v>0</v>
      </c>
      <c r="AB92" s="47">
        <f t="shared" si="9"/>
        <v>0</v>
      </c>
      <c r="AC92" s="47">
        <f t="shared" si="9"/>
        <v>0</v>
      </c>
    </row>
    <row r="93" spans="1:29">
      <c r="A93" s="85">
        <f t="shared" si="4"/>
        <v>45778</v>
      </c>
      <c r="B93" s="47">
        <f t="shared" si="4"/>
        <v>0</v>
      </c>
      <c r="C93" s="47">
        <f t="shared" si="4"/>
        <v>0</v>
      </c>
      <c r="D93" s="47">
        <f t="shared" si="4"/>
        <v>0</v>
      </c>
      <c r="E93" s="47">
        <f t="shared" si="4"/>
        <v>0</v>
      </c>
      <c r="F93" s="47">
        <f t="shared" si="4"/>
        <v>0</v>
      </c>
      <c r="G93" s="47">
        <f t="shared" si="4"/>
        <v>0</v>
      </c>
      <c r="H93" s="47">
        <f t="shared" si="4"/>
        <v>0</v>
      </c>
      <c r="I93" s="47">
        <f t="shared" si="4"/>
        <v>0</v>
      </c>
      <c r="J93" s="47">
        <f t="shared" si="4"/>
        <v>0</v>
      </c>
      <c r="K93" s="47">
        <f t="shared" si="4"/>
        <v>0</v>
      </c>
      <c r="L93" s="47">
        <f t="shared" si="4"/>
        <v>0</v>
      </c>
      <c r="M93" s="47">
        <f t="shared" si="4"/>
        <v>0</v>
      </c>
      <c r="N93" s="47">
        <f t="shared" si="4"/>
        <v>0</v>
      </c>
      <c r="O93" s="47">
        <f t="shared" si="4"/>
        <v>0</v>
      </c>
      <c r="P93" s="47">
        <f t="shared" si="4"/>
        <v>0</v>
      </c>
      <c r="Q93" s="47">
        <f t="shared" ref="Q93:AC93" si="10">Q43</f>
        <v>0</v>
      </c>
      <c r="R93" s="47">
        <f t="shared" si="10"/>
        <v>0</v>
      </c>
      <c r="S93" s="47">
        <f t="shared" si="10"/>
        <v>0</v>
      </c>
      <c r="T93" s="47">
        <f t="shared" si="10"/>
        <v>0</v>
      </c>
      <c r="U93" s="47">
        <f t="shared" si="10"/>
        <v>0</v>
      </c>
      <c r="V93" s="47">
        <f t="shared" si="10"/>
        <v>0</v>
      </c>
      <c r="W93" s="47">
        <f t="shared" si="10"/>
        <v>0</v>
      </c>
      <c r="X93" s="47">
        <f t="shared" si="10"/>
        <v>0</v>
      </c>
      <c r="Y93" s="47">
        <f t="shared" si="10"/>
        <v>0</v>
      </c>
      <c r="Z93" s="47">
        <f t="shared" si="10"/>
        <v>0</v>
      </c>
      <c r="AA93" s="47">
        <f t="shared" si="10"/>
        <v>0</v>
      </c>
      <c r="AB93" s="47">
        <f t="shared" si="10"/>
        <v>0</v>
      </c>
      <c r="AC93" s="47">
        <f t="shared" si="10"/>
        <v>0</v>
      </c>
    </row>
    <row r="94" spans="1:29">
      <c r="A94" s="85">
        <f t="shared" si="4"/>
        <v>45809</v>
      </c>
      <c r="B94" s="47">
        <f t="shared" si="4"/>
        <v>0</v>
      </c>
      <c r="C94" s="47">
        <f t="shared" si="4"/>
        <v>0</v>
      </c>
      <c r="D94" s="47">
        <f t="shared" si="4"/>
        <v>0</v>
      </c>
      <c r="E94" s="47">
        <f t="shared" si="4"/>
        <v>0</v>
      </c>
      <c r="F94" s="47">
        <f t="shared" si="4"/>
        <v>0</v>
      </c>
      <c r="G94" s="47">
        <f t="shared" si="4"/>
        <v>0</v>
      </c>
      <c r="H94" s="47">
        <f t="shared" si="4"/>
        <v>0</v>
      </c>
      <c r="I94" s="47">
        <f t="shared" si="4"/>
        <v>0</v>
      </c>
      <c r="J94" s="47">
        <f t="shared" si="4"/>
        <v>0</v>
      </c>
      <c r="K94" s="47">
        <f t="shared" si="4"/>
        <v>0</v>
      </c>
      <c r="L94" s="47">
        <f t="shared" si="4"/>
        <v>0</v>
      </c>
      <c r="M94" s="47">
        <f t="shared" si="4"/>
        <v>0</v>
      </c>
      <c r="N94" s="47">
        <f t="shared" si="4"/>
        <v>0</v>
      </c>
      <c r="O94" s="47">
        <f t="shared" si="4"/>
        <v>0</v>
      </c>
      <c r="P94" s="47">
        <f t="shared" si="4"/>
        <v>0</v>
      </c>
      <c r="Q94" s="47">
        <f t="shared" ref="Q94:AC94" si="11">Q44</f>
        <v>0</v>
      </c>
      <c r="R94" s="47">
        <f t="shared" si="11"/>
        <v>0</v>
      </c>
      <c r="S94" s="47">
        <f t="shared" si="11"/>
        <v>0</v>
      </c>
      <c r="T94" s="47">
        <f t="shared" si="11"/>
        <v>0</v>
      </c>
      <c r="U94" s="47">
        <f t="shared" si="11"/>
        <v>0</v>
      </c>
      <c r="V94" s="47">
        <f t="shared" si="11"/>
        <v>0</v>
      </c>
      <c r="W94" s="47">
        <f t="shared" si="11"/>
        <v>0</v>
      </c>
      <c r="X94" s="47">
        <f t="shared" si="11"/>
        <v>0</v>
      </c>
      <c r="Y94" s="47">
        <f t="shared" si="11"/>
        <v>0</v>
      </c>
      <c r="Z94" s="47">
        <f t="shared" si="11"/>
        <v>0</v>
      </c>
      <c r="AA94" s="47">
        <f t="shared" si="11"/>
        <v>0</v>
      </c>
      <c r="AB94" s="47">
        <f t="shared" si="11"/>
        <v>0</v>
      </c>
      <c r="AC94" s="47">
        <f t="shared" si="11"/>
        <v>0</v>
      </c>
    </row>
    <row r="95" spans="1:29">
      <c r="A95" s="85">
        <f t="shared" si="4"/>
        <v>45839</v>
      </c>
      <c r="B95" s="47">
        <f t="shared" si="4"/>
        <v>0</v>
      </c>
      <c r="C95" s="47">
        <f t="shared" si="4"/>
        <v>0</v>
      </c>
      <c r="D95" s="47">
        <f t="shared" si="4"/>
        <v>0</v>
      </c>
      <c r="E95" s="47">
        <f t="shared" si="4"/>
        <v>0</v>
      </c>
      <c r="F95" s="47">
        <f t="shared" si="4"/>
        <v>0</v>
      </c>
      <c r="G95" s="47">
        <f t="shared" si="4"/>
        <v>0</v>
      </c>
      <c r="H95" s="47">
        <f t="shared" si="4"/>
        <v>0</v>
      </c>
      <c r="I95" s="47">
        <f t="shared" si="4"/>
        <v>0</v>
      </c>
      <c r="J95" s="47">
        <f t="shared" si="4"/>
        <v>0</v>
      </c>
      <c r="K95" s="47">
        <f t="shared" si="4"/>
        <v>0</v>
      </c>
      <c r="L95" s="47">
        <f t="shared" si="4"/>
        <v>0</v>
      </c>
      <c r="M95" s="47">
        <f t="shared" si="4"/>
        <v>0</v>
      </c>
      <c r="N95" s="47">
        <f t="shared" si="4"/>
        <v>0</v>
      </c>
      <c r="O95" s="47">
        <f t="shared" si="4"/>
        <v>0</v>
      </c>
      <c r="P95" s="47">
        <f t="shared" si="4"/>
        <v>0</v>
      </c>
      <c r="Q95" s="47">
        <f t="shared" ref="Q95:AC95" si="12">Q45</f>
        <v>0</v>
      </c>
      <c r="R95" s="47">
        <f t="shared" si="12"/>
        <v>0</v>
      </c>
      <c r="S95" s="47">
        <f t="shared" si="12"/>
        <v>0</v>
      </c>
      <c r="T95" s="47">
        <f t="shared" si="12"/>
        <v>0</v>
      </c>
      <c r="U95" s="47">
        <f t="shared" si="12"/>
        <v>0</v>
      </c>
      <c r="V95" s="47">
        <f t="shared" si="12"/>
        <v>0</v>
      </c>
      <c r="W95" s="47">
        <f t="shared" si="12"/>
        <v>0</v>
      </c>
      <c r="X95" s="47">
        <f t="shared" si="12"/>
        <v>0</v>
      </c>
      <c r="Y95" s="47">
        <f t="shared" si="12"/>
        <v>0</v>
      </c>
      <c r="Z95" s="47">
        <f t="shared" si="12"/>
        <v>0</v>
      </c>
      <c r="AA95" s="47">
        <f t="shared" si="12"/>
        <v>0</v>
      </c>
      <c r="AB95" s="47">
        <f t="shared" si="12"/>
        <v>0</v>
      </c>
      <c r="AC95" s="47">
        <f t="shared" si="12"/>
        <v>0</v>
      </c>
    </row>
    <row r="96" spans="1:29">
      <c r="A96" s="85">
        <f t="shared" si="4"/>
        <v>45870</v>
      </c>
      <c r="B96" s="47">
        <f t="shared" si="4"/>
        <v>0</v>
      </c>
      <c r="C96" s="47">
        <f t="shared" si="4"/>
        <v>0</v>
      </c>
      <c r="D96" s="47">
        <f t="shared" si="4"/>
        <v>0</v>
      </c>
      <c r="E96" s="47">
        <f t="shared" si="4"/>
        <v>0</v>
      </c>
      <c r="F96" s="47">
        <f t="shared" si="4"/>
        <v>0</v>
      </c>
      <c r="G96" s="47">
        <f t="shared" si="4"/>
        <v>0</v>
      </c>
      <c r="H96" s="47">
        <f t="shared" si="4"/>
        <v>0</v>
      </c>
      <c r="I96" s="47">
        <f t="shared" si="4"/>
        <v>0</v>
      </c>
      <c r="J96" s="47">
        <f t="shared" si="4"/>
        <v>0</v>
      </c>
      <c r="K96" s="47">
        <f t="shared" si="4"/>
        <v>0</v>
      </c>
      <c r="L96" s="47">
        <f t="shared" si="4"/>
        <v>0</v>
      </c>
      <c r="M96" s="47">
        <f t="shared" si="4"/>
        <v>0</v>
      </c>
      <c r="N96" s="47">
        <f t="shared" si="4"/>
        <v>0</v>
      </c>
      <c r="O96" s="47">
        <f t="shared" si="4"/>
        <v>0</v>
      </c>
      <c r="P96" s="47">
        <f t="shared" si="4"/>
        <v>0</v>
      </c>
      <c r="Q96" s="47">
        <f t="shared" ref="Q96:AC96" si="13">Q46</f>
        <v>0</v>
      </c>
      <c r="R96" s="47">
        <f t="shared" si="13"/>
        <v>0</v>
      </c>
      <c r="S96" s="47">
        <f t="shared" si="13"/>
        <v>0</v>
      </c>
      <c r="T96" s="47">
        <f t="shared" si="13"/>
        <v>0</v>
      </c>
      <c r="U96" s="47">
        <f t="shared" si="13"/>
        <v>0</v>
      </c>
      <c r="V96" s="47">
        <f t="shared" si="13"/>
        <v>0</v>
      </c>
      <c r="W96" s="47">
        <f t="shared" si="13"/>
        <v>0</v>
      </c>
      <c r="X96" s="47">
        <f t="shared" si="13"/>
        <v>0</v>
      </c>
      <c r="Y96" s="47">
        <f t="shared" si="13"/>
        <v>0</v>
      </c>
      <c r="Z96" s="47">
        <f t="shared" si="13"/>
        <v>0</v>
      </c>
      <c r="AA96" s="47">
        <f t="shared" si="13"/>
        <v>0</v>
      </c>
      <c r="AB96" s="47">
        <f t="shared" si="13"/>
        <v>0</v>
      </c>
      <c r="AC96" s="47">
        <f t="shared" si="13"/>
        <v>0</v>
      </c>
    </row>
    <row r="97" spans="1:107">
      <c r="A97" s="85">
        <f t="shared" si="4"/>
        <v>45901</v>
      </c>
      <c r="B97" s="47">
        <f t="shared" si="4"/>
        <v>0</v>
      </c>
      <c r="C97" s="47">
        <f t="shared" si="4"/>
        <v>0</v>
      </c>
      <c r="D97" s="47">
        <f t="shared" si="4"/>
        <v>0</v>
      </c>
      <c r="E97" s="47">
        <f t="shared" si="4"/>
        <v>0</v>
      </c>
      <c r="F97" s="47">
        <f t="shared" si="4"/>
        <v>0</v>
      </c>
      <c r="G97" s="47">
        <f t="shared" si="4"/>
        <v>0</v>
      </c>
      <c r="H97" s="47">
        <f t="shared" si="4"/>
        <v>0</v>
      </c>
      <c r="I97" s="47">
        <f t="shared" si="4"/>
        <v>0</v>
      </c>
      <c r="J97" s="47">
        <f t="shared" si="4"/>
        <v>0</v>
      </c>
      <c r="K97" s="47">
        <f t="shared" si="4"/>
        <v>0</v>
      </c>
      <c r="L97" s="47">
        <f t="shared" si="4"/>
        <v>0</v>
      </c>
      <c r="M97" s="47">
        <f t="shared" si="4"/>
        <v>0</v>
      </c>
      <c r="N97" s="47">
        <f t="shared" si="4"/>
        <v>0</v>
      </c>
      <c r="O97" s="47">
        <f t="shared" si="4"/>
        <v>0</v>
      </c>
      <c r="P97" s="47">
        <f t="shared" si="4"/>
        <v>0</v>
      </c>
      <c r="Q97" s="47">
        <f t="shared" ref="Q97:AC97" si="14">Q47</f>
        <v>0</v>
      </c>
      <c r="R97" s="47">
        <f t="shared" si="14"/>
        <v>0</v>
      </c>
      <c r="S97" s="47">
        <f t="shared" si="14"/>
        <v>0</v>
      </c>
      <c r="T97" s="47">
        <f t="shared" si="14"/>
        <v>0</v>
      </c>
      <c r="U97" s="47">
        <f t="shared" si="14"/>
        <v>0</v>
      </c>
      <c r="V97" s="47">
        <f t="shared" si="14"/>
        <v>0</v>
      </c>
      <c r="W97" s="47">
        <f t="shared" si="14"/>
        <v>0</v>
      </c>
      <c r="X97" s="47">
        <f t="shared" si="14"/>
        <v>0</v>
      </c>
      <c r="Y97" s="47">
        <f t="shared" si="14"/>
        <v>0</v>
      </c>
      <c r="Z97" s="47">
        <f t="shared" si="14"/>
        <v>0</v>
      </c>
      <c r="AA97" s="47">
        <f t="shared" si="14"/>
        <v>0</v>
      </c>
      <c r="AB97" s="47">
        <f t="shared" si="14"/>
        <v>0</v>
      </c>
      <c r="AC97" s="47">
        <f t="shared" si="14"/>
        <v>0</v>
      </c>
    </row>
    <row r="98" spans="1:107">
      <c r="A98" s="85">
        <f t="shared" si="4"/>
        <v>45931</v>
      </c>
      <c r="B98" s="47">
        <f t="shared" si="4"/>
        <v>0</v>
      </c>
      <c r="C98" s="47">
        <f t="shared" si="4"/>
        <v>0</v>
      </c>
      <c r="D98" s="47">
        <f t="shared" si="4"/>
        <v>0</v>
      </c>
      <c r="E98" s="47">
        <f t="shared" si="4"/>
        <v>0</v>
      </c>
      <c r="F98" s="47">
        <f t="shared" si="4"/>
        <v>0</v>
      </c>
      <c r="G98" s="47">
        <f t="shared" si="4"/>
        <v>0</v>
      </c>
      <c r="H98" s="47">
        <f t="shared" si="4"/>
        <v>0</v>
      </c>
      <c r="I98" s="47">
        <f t="shared" si="4"/>
        <v>0</v>
      </c>
      <c r="J98" s="47">
        <f t="shared" si="4"/>
        <v>0</v>
      </c>
      <c r="K98" s="47">
        <f t="shared" si="4"/>
        <v>0</v>
      </c>
      <c r="L98" s="47">
        <f t="shared" si="4"/>
        <v>0</v>
      </c>
      <c r="M98" s="47">
        <f t="shared" si="4"/>
        <v>0</v>
      </c>
      <c r="N98" s="47">
        <f t="shared" si="4"/>
        <v>0</v>
      </c>
      <c r="O98" s="47">
        <f t="shared" si="4"/>
        <v>0</v>
      </c>
      <c r="P98" s="47">
        <f t="shared" si="4"/>
        <v>0</v>
      </c>
      <c r="Q98" s="47">
        <f t="shared" ref="Q98:AC98" si="15">Q48</f>
        <v>0</v>
      </c>
      <c r="R98" s="47">
        <f t="shared" si="15"/>
        <v>0</v>
      </c>
      <c r="S98" s="47">
        <f t="shared" si="15"/>
        <v>0</v>
      </c>
      <c r="T98" s="47">
        <f t="shared" si="15"/>
        <v>0</v>
      </c>
      <c r="U98" s="47">
        <f t="shared" si="15"/>
        <v>0</v>
      </c>
      <c r="V98" s="47">
        <f t="shared" si="15"/>
        <v>0</v>
      </c>
      <c r="W98" s="47">
        <f t="shared" si="15"/>
        <v>0</v>
      </c>
      <c r="X98" s="47">
        <f t="shared" si="15"/>
        <v>0</v>
      </c>
      <c r="Y98" s="47">
        <f t="shared" si="15"/>
        <v>0</v>
      </c>
      <c r="Z98" s="47">
        <f t="shared" si="15"/>
        <v>0</v>
      </c>
      <c r="AA98" s="47">
        <f t="shared" si="15"/>
        <v>0</v>
      </c>
      <c r="AB98" s="47">
        <f t="shared" si="15"/>
        <v>0</v>
      </c>
      <c r="AC98" s="47">
        <f t="shared" si="15"/>
        <v>0</v>
      </c>
    </row>
    <row r="99" spans="1:107">
      <c r="A99" s="85">
        <f t="shared" si="4"/>
        <v>45962</v>
      </c>
      <c r="B99" s="47">
        <f t="shared" si="4"/>
        <v>0</v>
      </c>
      <c r="C99" s="47">
        <f t="shared" si="4"/>
        <v>0</v>
      </c>
      <c r="D99" s="47">
        <f t="shared" si="4"/>
        <v>0</v>
      </c>
      <c r="E99" s="47">
        <f t="shared" si="4"/>
        <v>0</v>
      </c>
      <c r="F99" s="47">
        <f t="shared" si="4"/>
        <v>0</v>
      </c>
      <c r="G99" s="47">
        <f t="shared" si="4"/>
        <v>0</v>
      </c>
      <c r="H99" s="47">
        <f t="shared" si="4"/>
        <v>0</v>
      </c>
      <c r="I99" s="47">
        <f t="shared" si="4"/>
        <v>0</v>
      </c>
      <c r="J99" s="47">
        <f t="shared" si="4"/>
        <v>0</v>
      </c>
      <c r="K99" s="47">
        <f t="shared" si="4"/>
        <v>0</v>
      </c>
      <c r="L99" s="47">
        <f t="shared" si="4"/>
        <v>0</v>
      </c>
      <c r="M99" s="47">
        <f t="shared" si="4"/>
        <v>0</v>
      </c>
      <c r="N99" s="47">
        <f t="shared" si="4"/>
        <v>0</v>
      </c>
      <c r="O99" s="47">
        <f t="shared" si="4"/>
        <v>0</v>
      </c>
      <c r="P99" s="47">
        <f t="shared" si="4"/>
        <v>0</v>
      </c>
      <c r="Q99" s="47">
        <f t="shared" ref="Q99:AC99" si="16">Q49</f>
        <v>0</v>
      </c>
      <c r="R99" s="47">
        <f t="shared" si="16"/>
        <v>0</v>
      </c>
      <c r="S99" s="47">
        <f t="shared" si="16"/>
        <v>0</v>
      </c>
      <c r="T99" s="47">
        <f t="shared" si="16"/>
        <v>0</v>
      </c>
      <c r="U99" s="47">
        <f t="shared" si="16"/>
        <v>0</v>
      </c>
      <c r="V99" s="47">
        <f t="shared" si="16"/>
        <v>0</v>
      </c>
      <c r="W99" s="47">
        <f t="shared" si="16"/>
        <v>0</v>
      </c>
      <c r="X99" s="47">
        <f t="shared" si="16"/>
        <v>0</v>
      </c>
      <c r="Y99" s="47">
        <f t="shared" si="16"/>
        <v>0</v>
      </c>
      <c r="Z99" s="47">
        <f t="shared" si="16"/>
        <v>0</v>
      </c>
      <c r="AA99" s="47">
        <f t="shared" si="16"/>
        <v>0</v>
      </c>
      <c r="AB99" s="47">
        <f t="shared" si="16"/>
        <v>0</v>
      </c>
      <c r="AC99" s="47">
        <f t="shared" si="16"/>
        <v>0</v>
      </c>
    </row>
    <row r="100" spans="1:107">
      <c r="A100" s="86">
        <f t="shared" si="4"/>
        <v>45992</v>
      </c>
      <c r="B100" s="47">
        <f t="shared" si="4"/>
        <v>0</v>
      </c>
      <c r="C100" s="47">
        <f t="shared" si="4"/>
        <v>0</v>
      </c>
      <c r="D100" s="47">
        <f t="shared" si="4"/>
        <v>0</v>
      </c>
      <c r="E100" s="47">
        <f t="shared" si="4"/>
        <v>0</v>
      </c>
      <c r="F100" s="47">
        <f t="shared" si="4"/>
        <v>0</v>
      </c>
      <c r="G100" s="47">
        <f t="shared" si="4"/>
        <v>0</v>
      </c>
      <c r="H100" s="47">
        <f t="shared" si="4"/>
        <v>0</v>
      </c>
      <c r="I100" s="47">
        <f t="shared" si="4"/>
        <v>0</v>
      </c>
      <c r="J100" s="47">
        <f t="shared" si="4"/>
        <v>0</v>
      </c>
      <c r="K100" s="47">
        <f t="shared" si="4"/>
        <v>0</v>
      </c>
      <c r="L100" s="47">
        <f t="shared" si="4"/>
        <v>0</v>
      </c>
      <c r="M100" s="47">
        <f t="shared" si="4"/>
        <v>0</v>
      </c>
      <c r="N100" s="47">
        <f t="shared" si="4"/>
        <v>0</v>
      </c>
      <c r="O100" s="47">
        <f t="shared" si="4"/>
        <v>0</v>
      </c>
      <c r="P100" s="47">
        <f t="shared" si="4"/>
        <v>0</v>
      </c>
      <c r="Q100" s="47">
        <f t="shared" ref="Q100:AC100" si="17">Q50</f>
        <v>0</v>
      </c>
      <c r="R100" s="47">
        <f t="shared" si="17"/>
        <v>0</v>
      </c>
      <c r="S100" s="47">
        <f t="shared" si="17"/>
        <v>0</v>
      </c>
      <c r="T100" s="47">
        <f t="shared" si="17"/>
        <v>0</v>
      </c>
      <c r="U100" s="47">
        <f t="shared" si="17"/>
        <v>0</v>
      </c>
      <c r="V100" s="47">
        <f t="shared" si="17"/>
        <v>0</v>
      </c>
      <c r="W100" s="47">
        <f t="shared" si="17"/>
        <v>0</v>
      </c>
      <c r="X100" s="47">
        <f t="shared" si="17"/>
        <v>0</v>
      </c>
      <c r="Y100" s="47">
        <f t="shared" si="17"/>
        <v>0</v>
      </c>
      <c r="Z100" s="47">
        <f t="shared" si="17"/>
        <v>0</v>
      </c>
      <c r="AA100" s="47">
        <f t="shared" si="17"/>
        <v>0</v>
      </c>
      <c r="AB100" s="47">
        <f t="shared" si="17"/>
        <v>0</v>
      </c>
      <c r="AC100" s="47">
        <f t="shared" si="17"/>
        <v>0</v>
      </c>
    </row>
    <row r="101" spans="1:107" ht="15.75">
      <c r="A101" s="55" t="s">
        <v>82</v>
      </c>
      <c r="B101" s="56">
        <f>SUM(B89:B94)</f>
        <v>0</v>
      </c>
      <c r="C101" s="56">
        <f t="shared" ref="C101:AB101" si="18">SUM(C89:C94)</f>
        <v>0</v>
      </c>
      <c r="D101" s="56">
        <f t="shared" si="18"/>
        <v>0</v>
      </c>
      <c r="E101" s="56">
        <f t="shared" si="18"/>
        <v>0</v>
      </c>
      <c r="F101" s="56">
        <f t="shared" si="18"/>
        <v>0</v>
      </c>
      <c r="G101" s="56">
        <f t="shared" si="18"/>
        <v>0</v>
      </c>
      <c r="H101" s="56">
        <f t="shared" si="18"/>
        <v>0</v>
      </c>
      <c r="I101" s="56">
        <f t="shared" si="18"/>
        <v>0</v>
      </c>
      <c r="J101" s="56">
        <f t="shared" si="18"/>
        <v>0</v>
      </c>
      <c r="K101" s="56">
        <f t="shared" si="18"/>
        <v>0</v>
      </c>
      <c r="L101" s="56">
        <f t="shared" si="18"/>
        <v>0</v>
      </c>
      <c r="M101" s="56">
        <f t="shared" si="18"/>
        <v>0</v>
      </c>
      <c r="N101" s="56">
        <f t="shared" si="18"/>
        <v>0</v>
      </c>
      <c r="O101" s="56">
        <f t="shared" si="18"/>
        <v>0</v>
      </c>
      <c r="P101" s="56">
        <f t="shared" si="18"/>
        <v>0</v>
      </c>
      <c r="Q101" s="56">
        <f t="shared" si="18"/>
        <v>0</v>
      </c>
      <c r="R101" s="56">
        <f t="shared" si="18"/>
        <v>0</v>
      </c>
      <c r="S101" s="56">
        <f t="shared" si="18"/>
        <v>0</v>
      </c>
      <c r="T101" s="56">
        <f t="shared" si="18"/>
        <v>0</v>
      </c>
      <c r="U101" s="56">
        <f t="shared" si="18"/>
        <v>0</v>
      </c>
      <c r="V101" s="56">
        <f t="shared" si="18"/>
        <v>0</v>
      </c>
      <c r="W101" s="56">
        <f t="shared" si="18"/>
        <v>0</v>
      </c>
      <c r="X101" s="56">
        <f t="shared" si="18"/>
        <v>0</v>
      </c>
      <c r="Y101" s="56">
        <f t="shared" si="18"/>
        <v>0</v>
      </c>
      <c r="Z101" s="56">
        <f t="shared" si="18"/>
        <v>0</v>
      </c>
      <c r="AA101" s="56">
        <f t="shared" si="18"/>
        <v>0</v>
      </c>
      <c r="AB101" s="56">
        <f t="shared" si="18"/>
        <v>0</v>
      </c>
      <c r="AC101" s="57">
        <f>SUM(AC89:AC94)</f>
        <v>0</v>
      </c>
    </row>
    <row r="102" spans="1:107" ht="15.75">
      <c r="A102" s="55" t="s">
        <v>83</v>
      </c>
      <c r="B102" s="56">
        <f>SUM(B95:B100)</f>
        <v>0</v>
      </c>
      <c r="C102" s="56">
        <f t="shared" ref="C102:AB102" si="19">SUM(C95:C100)</f>
        <v>0</v>
      </c>
      <c r="D102" s="56">
        <f t="shared" si="19"/>
        <v>0</v>
      </c>
      <c r="E102" s="56">
        <f t="shared" si="19"/>
        <v>0</v>
      </c>
      <c r="F102" s="56">
        <f t="shared" si="19"/>
        <v>0</v>
      </c>
      <c r="G102" s="56">
        <f t="shared" si="19"/>
        <v>0</v>
      </c>
      <c r="H102" s="56">
        <f t="shared" si="19"/>
        <v>0</v>
      </c>
      <c r="I102" s="56">
        <f t="shared" si="19"/>
        <v>0</v>
      </c>
      <c r="J102" s="56">
        <f t="shared" si="19"/>
        <v>0</v>
      </c>
      <c r="K102" s="56">
        <f t="shared" si="19"/>
        <v>0</v>
      </c>
      <c r="L102" s="56">
        <f t="shared" si="19"/>
        <v>0</v>
      </c>
      <c r="M102" s="56">
        <f t="shared" si="19"/>
        <v>0</v>
      </c>
      <c r="N102" s="56">
        <f t="shared" si="19"/>
        <v>0</v>
      </c>
      <c r="O102" s="56">
        <f t="shared" si="19"/>
        <v>0</v>
      </c>
      <c r="P102" s="56">
        <f t="shared" si="19"/>
        <v>0</v>
      </c>
      <c r="Q102" s="56">
        <f t="shared" si="19"/>
        <v>0</v>
      </c>
      <c r="R102" s="56">
        <f t="shared" si="19"/>
        <v>0</v>
      </c>
      <c r="S102" s="56">
        <f t="shared" si="19"/>
        <v>0</v>
      </c>
      <c r="T102" s="56">
        <f t="shared" si="19"/>
        <v>0</v>
      </c>
      <c r="U102" s="56">
        <f t="shared" si="19"/>
        <v>0</v>
      </c>
      <c r="V102" s="56">
        <f t="shared" si="19"/>
        <v>0</v>
      </c>
      <c r="W102" s="56">
        <f t="shared" si="19"/>
        <v>0</v>
      </c>
      <c r="X102" s="56">
        <f t="shared" si="19"/>
        <v>0</v>
      </c>
      <c r="Y102" s="56">
        <f t="shared" si="19"/>
        <v>0</v>
      </c>
      <c r="Z102" s="56">
        <f t="shared" si="19"/>
        <v>0</v>
      </c>
      <c r="AA102" s="56">
        <f t="shared" si="19"/>
        <v>0</v>
      </c>
      <c r="AB102" s="56">
        <f t="shared" si="19"/>
        <v>0</v>
      </c>
      <c r="AC102" s="57">
        <f>SUM(AC95:AC100)</f>
        <v>0</v>
      </c>
    </row>
    <row r="103" spans="1:107" ht="15.75">
      <c r="A103" s="58" t="s">
        <v>84</v>
      </c>
      <c r="B103" s="56">
        <f>B101+B102</f>
        <v>0</v>
      </c>
      <c r="C103" s="56">
        <f t="shared" ref="C103:AB103" si="20">C101+C102</f>
        <v>0</v>
      </c>
      <c r="D103" s="56">
        <f t="shared" si="20"/>
        <v>0</v>
      </c>
      <c r="E103" s="56">
        <f t="shared" si="20"/>
        <v>0</v>
      </c>
      <c r="F103" s="56">
        <f t="shared" si="20"/>
        <v>0</v>
      </c>
      <c r="G103" s="56">
        <f t="shared" si="20"/>
        <v>0</v>
      </c>
      <c r="H103" s="56">
        <f t="shared" si="20"/>
        <v>0</v>
      </c>
      <c r="I103" s="56">
        <f t="shared" si="20"/>
        <v>0</v>
      </c>
      <c r="J103" s="56">
        <f t="shared" si="20"/>
        <v>0</v>
      </c>
      <c r="K103" s="56">
        <f t="shared" si="20"/>
        <v>0</v>
      </c>
      <c r="L103" s="56">
        <f t="shared" si="20"/>
        <v>0</v>
      </c>
      <c r="M103" s="56">
        <f t="shared" si="20"/>
        <v>0</v>
      </c>
      <c r="N103" s="56">
        <f t="shared" si="20"/>
        <v>0</v>
      </c>
      <c r="O103" s="56">
        <f t="shared" si="20"/>
        <v>0</v>
      </c>
      <c r="P103" s="56">
        <f t="shared" si="20"/>
        <v>0</v>
      </c>
      <c r="Q103" s="56">
        <f t="shared" si="20"/>
        <v>0</v>
      </c>
      <c r="R103" s="56">
        <f t="shared" si="20"/>
        <v>0</v>
      </c>
      <c r="S103" s="56">
        <f t="shared" si="20"/>
        <v>0</v>
      </c>
      <c r="T103" s="56">
        <f t="shared" si="20"/>
        <v>0</v>
      </c>
      <c r="U103" s="56">
        <f t="shared" si="20"/>
        <v>0</v>
      </c>
      <c r="V103" s="56">
        <f t="shared" si="20"/>
        <v>0</v>
      </c>
      <c r="W103" s="56">
        <f t="shared" si="20"/>
        <v>0</v>
      </c>
      <c r="X103" s="56">
        <f t="shared" si="20"/>
        <v>0</v>
      </c>
      <c r="Y103" s="56">
        <f t="shared" si="20"/>
        <v>0</v>
      </c>
      <c r="Z103" s="56">
        <f t="shared" si="20"/>
        <v>0</v>
      </c>
      <c r="AA103" s="56">
        <f t="shared" si="20"/>
        <v>0</v>
      </c>
      <c r="AB103" s="56">
        <f t="shared" si="20"/>
        <v>0</v>
      </c>
      <c r="AC103" s="53">
        <f>SUM(AC101:AC102)</f>
        <v>0</v>
      </c>
    </row>
    <row r="104" spans="1:107">
      <c r="A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</row>
    <row r="105" spans="1:107">
      <c r="A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</row>
    <row r="106" spans="1:107">
      <c r="A106" s="96" t="s">
        <v>9</v>
      </c>
      <c r="B106" s="93">
        <f>A89</f>
        <v>45658</v>
      </c>
      <c r="C106" s="93">
        <f>A90</f>
        <v>45689</v>
      </c>
      <c r="D106" s="93">
        <f>A91</f>
        <v>45717</v>
      </c>
      <c r="E106" s="93">
        <f>A92</f>
        <v>45748</v>
      </c>
      <c r="F106" s="93">
        <f>A93</f>
        <v>45778</v>
      </c>
      <c r="G106" s="93">
        <f>A94</f>
        <v>45809</v>
      </c>
      <c r="H106" s="93">
        <f>A95</f>
        <v>45839</v>
      </c>
      <c r="I106" s="93">
        <f>A96</f>
        <v>45870</v>
      </c>
      <c r="J106" s="93">
        <f>A97</f>
        <v>45901</v>
      </c>
      <c r="K106" s="93">
        <f>A98</f>
        <v>45931</v>
      </c>
      <c r="L106" s="93">
        <f>A99</f>
        <v>45962</v>
      </c>
      <c r="M106" s="93">
        <f>A100</f>
        <v>45992</v>
      </c>
      <c r="N106" s="97" t="s">
        <v>81</v>
      </c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</row>
    <row r="107" spans="1:107">
      <c r="A107" s="94" t="str">
        <f>Tabela410[[#Headers],[ARLIZ]]</f>
        <v>ARLIZ</v>
      </c>
      <c r="B107" s="95">
        <f>B89</f>
        <v>0</v>
      </c>
      <c r="C107" s="95">
        <f>B90</f>
        <v>0</v>
      </c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95">
        <f>B103</f>
        <v>0</v>
      </c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</row>
    <row r="108" spans="1:107">
      <c r="A108" s="94" t="str">
        <f>Tabela410[[#Headers],[CAMOMIL ]]</f>
        <v xml:space="preserve">CAMOMIL </v>
      </c>
      <c r="B108" s="98">
        <f>C89</f>
        <v>0</v>
      </c>
      <c r="C108" s="98">
        <f>C90</f>
        <v>0</v>
      </c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8">
        <f>C103</f>
        <v>0</v>
      </c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</row>
    <row r="109" spans="1:107">
      <c r="A109" s="94" t="str">
        <f>Tabela410[[#Headers],[COMPANY]]</f>
        <v>COMPANY</v>
      </c>
      <c r="B109" s="95">
        <f>D89</f>
        <v>0</v>
      </c>
      <c r="C109" s="95">
        <f>D90</f>
        <v>0</v>
      </c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95">
        <f>D103</f>
        <v>0</v>
      </c>
      <c r="P109">
        <v>75</v>
      </c>
      <c r="Q109">
        <v>32</v>
      </c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1:107">
      <c r="A110" s="94" t="str">
        <f>Tabela410[[#Headers],[DALCOMADE]]</f>
        <v>DALCOMADE</v>
      </c>
      <c r="B110" s="98">
        <f>E89</f>
        <v>0</v>
      </c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8">
        <f>E103</f>
        <v>0</v>
      </c>
      <c r="P110">
        <v>31</v>
      </c>
      <c r="Q110">
        <v>15</v>
      </c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1:107">
      <c r="A111" s="94" t="str">
        <f>Tabela410[[#Headers],[EUCATEX]]</f>
        <v>EUCATEX</v>
      </c>
      <c r="B111" s="95">
        <f>F89</f>
        <v>0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95">
        <f>F103</f>
        <v>0</v>
      </c>
      <c r="P111">
        <f>P109*P110/100</f>
        <v>23.25</v>
      </c>
      <c r="Q111">
        <f>Q109*Q110/100</f>
        <v>4.8</v>
      </c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1:107">
      <c r="A112" s="94" t="str">
        <f>Tabela410[[#Headers],[GN-MADEIRAS]]</f>
        <v>GN-MADEIRAS</v>
      </c>
      <c r="B112" s="98">
        <f>G89</f>
        <v>0</v>
      </c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8">
        <f>G103</f>
        <v>0</v>
      </c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1:107">
      <c r="A113" s="94" t="str">
        <f>Tabela410[[#Headers],[IDEAL]]</f>
        <v>IDEAL</v>
      </c>
      <c r="B113" s="95">
        <f>H89</f>
        <v>0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95">
        <f>H103</f>
        <v>0</v>
      </c>
      <c r="Q113">
        <f>Q111+P111</f>
        <v>28.05</v>
      </c>
      <c r="R113" s="112">
        <f>Q113+P109</f>
        <v>103.05</v>
      </c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1:107">
      <c r="A114" s="94" t="str">
        <f>Tabela410[[#Headers],[IRMÃS NAVAS]]</f>
        <v>IRMÃS NAVAS</v>
      </c>
      <c r="B114" s="98">
        <f>I89</f>
        <v>0</v>
      </c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8">
        <f>I103</f>
        <v>0</v>
      </c>
      <c r="P114">
        <v>1986</v>
      </c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1:107">
      <c r="A115" s="94" t="str">
        <f>Tabela410[[#Headers],[IMPEL]]</f>
        <v>IMPEL</v>
      </c>
      <c r="B115" s="95">
        <f>J89</f>
        <v>0</v>
      </c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95">
        <f>J103</f>
        <v>0</v>
      </c>
      <c r="P115">
        <v>2025</v>
      </c>
      <c r="R115">
        <v>142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1:107">
      <c r="A116" s="94" t="str">
        <f>Tabela410[[#Headers],[RODEIO]]</f>
        <v>RODEIO</v>
      </c>
      <c r="B116" s="98">
        <f>K89</f>
        <v>0</v>
      </c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8">
        <f>K103</f>
        <v>0</v>
      </c>
      <c r="P116">
        <f>P115-P114</f>
        <v>39</v>
      </c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1:107">
      <c r="A117" s="94" t="str">
        <f>Tabela410[[#Headers],[SUL PORTAS]]</f>
        <v>SUL PORTAS</v>
      </c>
      <c r="B117" s="95">
        <f>L89</f>
        <v>0</v>
      </c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95">
        <f>L103</f>
        <v>0</v>
      </c>
      <c r="R117">
        <f>R115+R113</f>
        <v>245.05</v>
      </c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1:107">
      <c r="A118" s="94" t="str">
        <f>Tabela410[[#Headers],[MAD CASTOR]]</f>
        <v>MAD CASTOR</v>
      </c>
      <c r="B118" s="98">
        <f>M89</f>
        <v>0</v>
      </c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8">
        <f>M103</f>
        <v>0</v>
      </c>
      <c r="P118">
        <f>P109+15</f>
        <v>90</v>
      </c>
      <c r="Q118">
        <f>P118*P110/100</f>
        <v>27.9</v>
      </c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1:107">
      <c r="A119" s="94" t="str">
        <f>Tabela410[[#Headers],[WILLIAM SHULL]]</f>
        <v>WILLIAM SHULL</v>
      </c>
      <c r="B119" s="95">
        <f>N89</f>
        <v>0</v>
      </c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95">
        <f>N103</f>
        <v>0</v>
      </c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1:107">
      <c r="A120" s="94" t="str">
        <f>Tabela410[[#Headers],[MGM]]</f>
        <v>MGM</v>
      </c>
      <c r="B120" s="98">
        <f>O89</f>
        <v>0</v>
      </c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8">
        <f>O103</f>
        <v>0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1:107">
      <c r="A121" s="94" t="str">
        <f>Tabela410[[#Headers],[NAVAS]]</f>
        <v>NAVAS</v>
      </c>
      <c r="B121" s="95">
        <f>P89</f>
        <v>0</v>
      </c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95">
        <f>P103</f>
        <v>0</v>
      </c>
      <c r="Q121">
        <f>P118+Q118</f>
        <v>117.9</v>
      </c>
      <c r="R121">
        <v>142</v>
      </c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1:107">
      <c r="A122" s="94" t="str">
        <f>Tabela410[[#Headers],[OJ CHUANTS ]]</f>
        <v xml:space="preserve">OJ CHUANTS </v>
      </c>
      <c r="B122" s="98">
        <f>Q89</f>
        <v>0</v>
      </c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8">
        <f>Q103</f>
        <v>0</v>
      </c>
      <c r="R122">
        <f>Q121+R121</f>
        <v>259.89999999999998</v>
      </c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1:107">
      <c r="A123" s="94" t="str">
        <f>Tabela410[[#Headers],[PIANCE]]</f>
        <v>PIANCE</v>
      </c>
      <c r="B123" s="95">
        <f>R89</f>
        <v>0</v>
      </c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95">
        <f>R103</f>
        <v>0</v>
      </c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1:107">
      <c r="A124" s="94" t="str">
        <f>Tabela410[[#Headers],[POLTRONIERI]]</f>
        <v>POLTRONIERI</v>
      </c>
      <c r="B124" s="98">
        <f>S89</f>
        <v>0</v>
      </c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8">
        <f>S103</f>
        <v>0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1:107">
      <c r="A125" s="94" t="str">
        <f>Tabela410[[#Headers],[PORTO UNIÃO ]]</f>
        <v xml:space="preserve">PORTO UNIÃO </v>
      </c>
      <c r="B125" s="95">
        <f>T89</f>
        <v>0</v>
      </c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95">
        <f>T103</f>
        <v>0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1:107">
      <c r="A126" s="94" t="str">
        <f>Tabela410[[#Headers],[PRESOTTO]]</f>
        <v>PRESOTTO</v>
      </c>
      <c r="B126" s="98">
        <f>U89</f>
        <v>0</v>
      </c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8">
        <f>T103</f>
        <v>0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1:107">
      <c r="A127" s="94" t="str">
        <f>Tabela410[[#Headers],[RIVA]]</f>
        <v>RIVA</v>
      </c>
      <c r="B127" s="95">
        <f>V89</f>
        <v>0</v>
      </c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95">
        <f>V103</f>
        <v>0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1:107">
      <c r="A128" s="94" t="str">
        <f>Tabela410[[#Headers],[SANCHES]]</f>
        <v>SANCHES</v>
      </c>
      <c r="B128" s="98">
        <f>W89</f>
        <v>0</v>
      </c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8">
        <f>W103</f>
        <v>0</v>
      </c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1:107">
      <c r="A129" s="94" t="str">
        <f>Tabela410[[#Headers],[STAM]]</f>
        <v>STAM</v>
      </c>
      <c r="B129" s="95">
        <f>X89</f>
        <v>0</v>
      </c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95">
        <f>X103</f>
        <v>0</v>
      </c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1:107">
      <c r="A130" s="94" t="str">
        <f>Tabela410[[#Headers],[JJ BATENTES]]</f>
        <v>JJ BATENTES</v>
      </c>
      <c r="B130" s="98">
        <f>Y89</f>
        <v>0</v>
      </c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8">
        <f>Y103</f>
        <v>0</v>
      </c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1:107">
      <c r="A131" s="94" t="str">
        <f>Tabela410[[#Headers],[ALAMO]]</f>
        <v>ALAMO</v>
      </c>
      <c r="B131" s="95">
        <f>Z89</f>
        <v>0</v>
      </c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95">
        <f>Z103</f>
        <v>0</v>
      </c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 s="94" t="str">
        <f>Tabela410[[#Headers],[ALUMINIO 2A]]</f>
        <v>ALUMINIO 2A</v>
      </c>
      <c r="B132" s="98">
        <f>AA89</f>
        <v>0</v>
      </c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8">
        <f>AA103</f>
        <v>0</v>
      </c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 s="94" t="str">
        <f>Tabela4[[#Headers],[UNIPORTAS]]</f>
        <v>UNIPORTAS</v>
      </c>
      <c r="B133" s="95">
        <f>AB89</f>
        <v>0</v>
      </c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95">
        <f>AB103</f>
        <v>0</v>
      </c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96" t="s">
        <v>9</v>
      </c>
      <c r="B141" s="96" t="s">
        <v>139</v>
      </c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94" t="str">
        <f>Tabela410[[#Headers],[ARLIZ]]</f>
        <v>ARLIZ</v>
      </c>
      <c r="B142" s="99">
        <v>50</v>
      </c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94" t="str">
        <f>Tabela410[[#Headers],[CAMOMIL ]]</f>
        <v xml:space="preserve">CAMOMIL </v>
      </c>
      <c r="B143" s="99">
        <v>0</v>
      </c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94" t="str">
        <f>Tabela410[[#Headers],[COMPANY]]</f>
        <v>COMPANY</v>
      </c>
      <c r="B144" s="99">
        <v>0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94" t="str">
        <f>Tabela410[[#Headers],[DALCOMADE]]</f>
        <v>DALCOMADE</v>
      </c>
      <c r="B145" s="99">
        <v>100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94" t="str">
        <f>Tabela410[[#Headers],[EUCATEX]]</f>
        <v>EUCATEX</v>
      </c>
      <c r="B146" s="99">
        <v>0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94" t="str">
        <f>Tabela410[[#Headers],[GN-MADEIRAS]]</f>
        <v>GN-MADEIRAS</v>
      </c>
      <c r="B147" s="99">
        <v>0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94" t="str">
        <f>Tabela410[[#Headers],[IDEAL]]</f>
        <v>IDEAL</v>
      </c>
      <c r="B148" s="99">
        <v>0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94" t="str">
        <f>Tabela410[[#Headers],[IRMÃS NAVAS]]</f>
        <v>IRMÃS NAVAS</v>
      </c>
      <c r="B149" s="99">
        <v>0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94" t="str">
        <f>Tabela410[[#Headers],[IMPEL]]</f>
        <v>IMPEL</v>
      </c>
      <c r="B150" s="99">
        <v>0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94" t="str">
        <f>Tabela410[[#Headers],[RODEIO]]</f>
        <v>RODEIO</v>
      </c>
      <c r="B151" s="99">
        <v>0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94" t="str">
        <f>Tabela410[[#Headers],[SUL PORTAS]]</f>
        <v>SUL PORTAS</v>
      </c>
      <c r="B152" s="99">
        <v>0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94" t="str">
        <f>Tabela410[[#Headers],[MAD CASTOR]]</f>
        <v>MAD CASTOR</v>
      </c>
      <c r="B153" s="99">
        <v>0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94" t="str">
        <f>Tabela410[[#Headers],[WILLIAM SHULL]]</f>
        <v>WILLIAM SHULL</v>
      </c>
      <c r="B154" s="99">
        <v>0</v>
      </c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94" t="str">
        <f>Tabela410[[#Headers],[MGM]]</f>
        <v>MGM</v>
      </c>
      <c r="B155" s="99">
        <v>0</v>
      </c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94" t="str">
        <f>Tabela410[[#Headers],[NAVAS]]</f>
        <v>NAVAS</v>
      </c>
      <c r="B156" s="99">
        <v>250</v>
      </c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94" t="str">
        <f>Tabela410[[#Headers],[OJ CHUANTS ]]</f>
        <v xml:space="preserve">OJ CHUANTS </v>
      </c>
      <c r="B157" s="99">
        <v>0</v>
      </c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94" t="str">
        <f>Tabela410[[#Headers],[PIANCE]]</f>
        <v>PIANCE</v>
      </c>
      <c r="B158" s="99">
        <v>0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94" t="str">
        <f>Tabela410[[#Headers],[POLTRONIERI]]</f>
        <v>POLTRONIERI</v>
      </c>
      <c r="B159" s="99">
        <v>0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94" t="str">
        <f>Tabela410[[#Headers],[PORTO UNIÃO ]]</f>
        <v xml:space="preserve">PORTO UNIÃO </v>
      </c>
      <c r="B160" s="99">
        <v>120</v>
      </c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94" t="str">
        <f>Tabela410[[#Headers],[PRESOTTO]]</f>
        <v>PRESOTTO</v>
      </c>
      <c r="B161" s="99">
        <v>225</v>
      </c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94" t="str">
        <f>Tabela410[[#Headers],[RIVA]]</f>
        <v>RIVA</v>
      </c>
      <c r="B162" s="99">
        <v>0</v>
      </c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94" t="str">
        <f>Tabela410[[#Headers],[SANCHES]]</f>
        <v>SANCHES</v>
      </c>
      <c r="B163" s="99">
        <v>25</v>
      </c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94" t="str">
        <f>Tabela410[[#Headers],[STAM]]</f>
        <v>STAM</v>
      </c>
      <c r="B164" s="99">
        <v>0</v>
      </c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 s="94" t="str">
        <f>Tabela410[[#Headers],[JJ BATENTES]]</f>
        <v>JJ BATENTES</v>
      </c>
      <c r="B165" s="99">
        <v>0</v>
      </c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 s="94" t="str">
        <f>Tabela410[[#Headers],[ALAMO]]</f>
        <v>ALAMO</v>
      </c>
      <c r="B166" s="99">
        <v>0</v>
      </c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 s="94" t="str">
        <f>Tabela410[[#Headers],[ALUMINIO 2A]]</f>
        <v>ALUMINIO 2A</v>
      </c>
      <c r="B167" s="99">
        <v>0</v>
      </c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 s="94" t="str">
        <f>Tabela4[[#Headers],[UNIPORTAS]]</f>
        <v>UNIPORTAS</v>
      </c>
      <c r="B168" s="99">
        <v>180</v>
      </c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 s="101">
        <f>COUNTA(A142:A168)</f>
        <v>27</v>
      </c>
      <c r="B169" s="100">
        <f>SUM(B142:B168)</f>
        <v>950</v>
      </c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107">
      <c r="A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  <row r="195" spans="1:107">
      <c r="A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</row>
    <row r="196" spans="1:107">
      <c r="A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</row>
    <row r="197" spans="1:107">
      <c r="A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</row>
    <row r="198" spans="1:107">
      <c r="A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</row>
    <row r="199" spans="1:107">
      <c r="A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</row>
    <row r="200" spans="1:107">
      <c r="A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</row>
    <row r="201" spans="1:107">
      <c r="A201" s="102" t="s">
        <v>9</v>
      </c>
      <c r="B201" s="103" t="s">
        <v>140</v>
      </c>
      <c r="C201" s="103" t="s">
        <v>141</v>
      </c>
      <c r="D201" s="103" t="s">
        <v>142</v>
      </c>
      <c r="E201" s="103" t="s">
        <v>143</v>
      </c>
      <c r="F201" s="103" t="s">
        <v>144</v>
      </c>
      <c r="G201" s="103" t="s">
        <v>145</v>
      </c>
      <c r="H201" s="103" t="s">
        <v>146</v>
      </c>
      <c r="I201" s="103" t="s">
        <v>147</v>
      </c>
      <c r="J201" s="103" t="s">
        <v>148</v>
      </c>
      <c r="K201" s="103" t="s">
        <v>149</v>
      </c>
      <c r="L201" s="103" t="s">
        <v>150</v>
      </c>
      <c r="M201" s="103" t="s">
        <v>151</v>
      </c>
      <c r="N201" s="104" t="s">
        <v>81</v>
      </c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</row>
    <row r="202" spans="1:107">
      <c r="A202" s="32" t="str">
        <f>Tabela410[[#Headers],[ARLIZ]]</f>
        <v>ARLIZ</v>
      </c>
      <c r="B202" s="95">
        <v>100</v>
      </c>
      <c r="C202" s="95">
        <v>0</v>
      </c>
      <c r="D202" s="95">
        <v>0</v>
      </c>
      <c r="E202" s="95">
        <v>0</v>
      </c>
      <c r="F202" s="95">
        <v>0</v>
      </c>
      <c r="G202" s="95">
        <v>0</v>
      </c>
      <c r="H202" s="95">
        <v>0</v>
      </c>
      <c r="I202" s="95">
        <v>0</v>
      </c>
      <c r="J202" s="95">
        <v>0</v>
      </c>
      <c r="K202" s="95">
        <v>0</v>
      </c>
      <c r="L202" s="95">
        <v>0</v>
      </c>
      <c r="M202" s="95">
        <v>0</v>
      </c>
      <c r="N202" s="105">
        <f>N107</f>
        <v>0</v>
      </c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</row>
    <row r="203" spans="1:107">
      <c r="A203" s="32" t="str">
        <f>Tabela410[[#Headers],[CAMOMIL ]]</f>
        <v xml:space="preserve">CAMOMIL </v>
      </c>
      <c r="B203" s="95">
        <v>0</v>
      </c>
      <c r="C203" s="95">
        <v>0</v>
      </c>
      <c r="D203" s="95">
        <v>0</v>
      </c>
      <c r="E203" s="95">
        <v>0</v>
      </c>
      <c r="F203" s="95">
        <v>0</v>
      </c>
      <c r="G203" s="95">
        <v>0</v>
      </c>
      <c r="H203" s="95">
        <v>0</v>
      </c>
      <c r="I203" s="95">
        <v>0</v>
      </c>
      <c r="J203" s="95">
        <v>0</v>
      </c>
      <c r="K203" s="95">
        <v>0</v>
      </c>
      <c r="L203" s="95">
        <v>0</v>
      </c>
      <c r="M203" s="95">
        <v>0</v>
      </c>
      <c r="N203" s="105">
        <f t="shared" ref="N203:N228" si="21">N108</f>
        <v>0</v>
      </c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</row>
    <row r="204" spans="1:107">
      <c r="A204" s="32" t="str">
        <f>Tabela410[[#Headers],[COMPANY]]</f>
        <v>COMPANY</v>
      </c>
      <c r="B204" s="95">
        <v>0</v>
      </c>
      <c r="C204" s="95">
        <v>0</v>
      </c>
      <c r="D204" s="95">
        <v>0</v>
      </c>
      <c r="E204" s="95">
        <v>0</v>
      </c>
      <c r="F204" s="95">
        <v>0</v>
      </c>
      <c r="G204" s="95">
        <v>0</v>
      </c>
      <c r="H204" s="95">
        <v>0</v>
      </c>
      <c r="I204" s="95">
        <v>0</v>
      </c>
      <c r="J204" s="95">
        <v>0</v>
      </c>
      <c r="K204" s="95">
        <v>0</v>
      </c>
      <c r="L204" s="95">
        <v>0</v>
      </c>
      <c r="M204" s="95">
        <v>0</v>
      </c>
      <c r="N204" s="105">
        <f t="shared" si="21"/>
        <v>0</v>
      </c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</row>
    <row r="205" spans="1:107">
      <c r="A205" s="32" t="str">
        <f>Tabela410[[#Headers],[DALCOMADE]]</f>
        <v>DALCOMADE</v>
      </c>
      <c r="B205" s="95">
        <v>0</v>
      </c>
      <c r="C205" s="95">
        <v>0</v>
      </c>
      <c r="D205" s="95">
        <v>0</v>
      </c>
      <c r="E205" s="95">
        <v>0</v>
      </c>
      <c r="F205" s="95">
        <v>0</v>
      </c>
      <c r="G205" s="95">
        <v>0</v>
      </c>
      <c r="H205" s="95">
        <v>0</v>
      </c>
      <c r="I205" s="95">
        <v>0</v>
      </c>
      <c r="J205" s="95">
        <v>0</v>
      </c>
      <c r="K205" s="95">
        <v>0</v>
      </c>
      <c r="L205" s="95">
        <v>0</v>
      </c>
      <c r="M205" s="95">
        <v>0</v>
      </c>
      <c r="N205" s="105">
        <f t="shared" si="21"/>
        <v>0</v>
      </c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</row>
    <row r="206" spans="1:107">
      <c r="A206" s="32" t="str">
        <f>Tabela410[[#Headers],[EUCATEX]]</f>
        <v>EUCATEX</v>
      </c>
      <c r="B206" s="95">
        <v>0</v>
      </c>
      <c r="C206" s="95">
        <v>0</v>
      </c>
      <c r="D206" s="95">
        <v>0</v>
      </c>
      <c r="E206" s="95">
        <v>0</v>
      </c>
      <c r="F206" s="95">
        <v>0</v>
      </c>
      <c r="G206" s="95">
        <v>0</v>
      </c>
      <c r="H206" s="95">
        <v>0</v>
      </c>
      <c r="I206" s="95">
        <v>0</v>
      </c>
      <c r="J206" s="95">
        <v>0</v>
      </c>
      <c r="K206" s="95">
        <v>0</v>
      </c>
      <c r="L206" s="95">
        <v>0</v>
      </c>
      <c r="M206" s="95">
        <v>0</v>
      </c>
      <c r="N206" s="105">
        <f t="shared" si="21"/>
        <v>0</v>
      </c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</row>
    <row r="207" spans="1:107">
      <c r="A207" s="32" t="str">
        <f>Tabela410[[#Headers],[GN-MADEIRAS]]</f>
        <v>GN-MADEIRAS</v>
      </c>
      <c r="B207" s="95">
        <v>0</v>
      </c>
      <c r="C207" s="95">
        <v>0</v>
      </c>
      <c r="D207" s="95">
        <v>0</v>
      </c>
      <c r="E207" s="95">
        <v>0</v>
      </c>
      <c r="F207" s="95">
        <v>0</v>
      </c>
      <c r="G207" s="95">
        <v>0</v>
      </c>
      <c r="H207" s="95">
        <v>0</v>
      </c>
      <c r="I207" s="95">
        <v>0</v>
      </c>
      <c r="J207" s="95">
        <v>0</v>
      </c>
      <c r="K207" s="95">
        <v>0</v>
      </c>
      <c r="L207" s="95">
        <v>0</v>
      </c>
      <c r="M207" s="95">
        <v>0</v>
      </c>
      <c r="N207" s="105">
        <f t="shared" si="21"/>
        <v>0</v>
      </c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</row>
    <row r="208" spans="1:107">
      <c r="A208" s="32" t="str">
        <f>Tabela410[[#Headers],[IDEAL]]</f>
        <v>IDEAL</v>
      </c>
      <c r="B208" s="95">
        <v>0</v>
      </c>
      <c r="C208" s="95">
        <v>0</v>
      </c>
      <c r="D208" s="95">
        <v>0</v>
      </c>
      <c r="E208" s="95">
        <v>0</v>
      </c>
      <c r="F208" s="95">
        <v>0</v>
      </c>
      <c r="G208" s="95">
        <v>0</v>
      </c>
      <c r="H208" s="95">
        <v>0</v>
      </c>
      <c r="I208" s="95">
        <v>0</v>
      </c>
      <c r="J208" s="95">
        <v>0</v>
      </c>
      <c r="K208" s="95">
        <v>0</v>
      </c>
      <c r="L208" s="95">
        <v>0</v>
      </c>
      <c r="M208" s="95">
        <v>0</v>
      </c>
      <c r="N208" s="105">
        <f t="shared" si="21"/>
        <v>0</v>
      </c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</row>
    <row r="209" spans="1:107">
      <c r="A209" s="32" t="str">
        <f>Tabela410[[#Headers],[IRMÃS NAVAS]]</f>
        <v>IRMÃS NAVAS</v>
      </c>
      <c r="B209" s="95">
        <v>0</v>
      </c>
      <c r="C209" s="95">
        <v>0</v>
      </c>
      <c r="D209" s="95">
        <v>0</v>
      </c>
      <c r="E209" s="95">
        <v>0</v>
      </c>
      <c r="F209" s="95">
        <v>0</v>
      </c>
      <c r="G209" s="95">
        <v>0</v>
      </c>
      <c r="H209" s="95">
        <v>0</v>
      </c>
      <c r="I209" s="95">
        <v>0</v>
      </c>
      <c r="J209" s="95">
        <v>0</v>
      </c>
      <c r="K209" s="95">
        <v>0</v>
      </c>
      <c r="L209" s="95">
        <v>0</v>
      </c>
      <c r="M209" s="95">
        <v>0</v>
      </c>
      <c r="N209" s="105">
        <f t="shared" si="21"/>
        <v>0</v>
      </c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</row>
    <row r="210" spans="1:107">
      <c r="A210" s="32" t="str">
        <f>Tabela410[[#Headers],[IMPEL]]</f>
        <v>IMPEL</v>
      </c>
      <c r="B210" s="95">
        <v>0</v>
      </c>
      <c r="C210" s="95">
        <v>0</v>
      </c>
      <c r="D210" s="95">
        <v>0</v>
      </c>
      <c r="E210" s="95">
        <v>0</v>
      </c>
      <c r="F210" s="95">
        <v>0</v>
      </c>
      <c r="G210" s="95">
        <v>0</v>
      </c>
      <c r="H210" s="95">
        <v>0</v>
      </c>
      <c r="I210" s="95">
        <v>0</v>
      </c>
      <c r="J210" s="95">
        <v>0</v>
      </c>
      <c r="K210" s="95">
        <v>0</v>
      </c>
      <c r="L210" s="95">
        <v>0</v>
      </c>
      <c r="M210" s="95">
        <v>0</v>
      </c>
      <c r="N210" s="105">
        <f t="shared" si="21"/>
        <v>0</v>
      </c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</row>
    <row r="211" spans="1:107">
      <c r="A211" s="32" t="str">
        <f>Tabela410[[#Headers],[RODEIO]]</f>
        <v>RODEIO</v>
      </c>
      <c r="B211" s="95">
        <v>100</v>
      </c>
      <c r="C211" s="95">
        <v>0</v>
      </c>
      <c r="D211" s="95">
        <v>0</v>
      </c>
      <c r="E211" s="95">
        <v>0</v>
      </c>
      <c r="F211" s="95">
        <v>0</v>
      </c>
      <c r="G211" s="95">
        <v>0</v>
      </c>
      <c r="H211" s="95">
        <v>0</v>
      </c>
      <c r="I211" s="95">
        <v>0</v>
      </c>
      <c r="J211" s="95">
        <v>0</v>
      </c>
      <c r="K211" s="95">
        <v>0</v>
      </c>
      <c r="L211" s="95">
        <v>0</v>
      </c>
      <c r="M211" s="95">
        <v>0</v>
      </c>
      <c r="N211" s="105">
        <f t="shared" si="21"/>
        <v>0</v>
      </c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</row>
    <row r="212" spans="1:107">
      <c r="A212" s="32" t="str">
        <f>Tabela410[[#Headers],[SUL PORTAS]]</f>
        <v>SUL PORTAS</v>
      </c>
      <c r="B212" s="95">
        <v>0</v>
      </c>
      <c r="C212" s="95">
        <v>0</v>
      </c>
      <c r="D212" s="95">
        <v>0</v>
      </c>
      <c r="E212" s="95">
        <v>0</v>
      </c>
      <c r="F212" s="95">
        <v>0</v>
      </c>
      <c r="G212" s="95">
        <v>0</v>
      </c>
      <c r="H212" s="95">
        <v>0</v>
      </c>
      <c r="I212" s="95">
        <v>0</v>
      </c>
      <c r="J212" s="95">
        <v>0</v>
      </c>
      <c r="K212" s="95">
        <v>0</v>
      </c>
      <c r="L212" s="95">
        <v>0</v>
      </c>
      <c r="M212" s="95">
        <v>0</v>
      </c>
      <c r="N212" s="105">
        <f t="shared" si="21"/>
        <v>0</v>
      </c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</row>
    <row r="213" spans="1:107">
      <c r="A213" s="32" t="str">
        <f>Tabela410[[#Headers],[MAD CASTOR]]</f>
        <v>MAD CASTOR</v>
      </c>
      <c r="B213" s="95">
        <v>0</v>
      </c>
      <c r="C213" s="95">
        <v>0</v>
      </c>
      <c r="D213" s="95">
        <v>0</v>
      </c>
      <c r="E213" s="95">
        <v>0</v>
      </c>
      <c r="F213" s="95">
        <v>0</v>
      </c>
      <c r="G213" s="95">
        <v>0</v>
      </c>
      <c r="H213" s="95">
        <v>0</v>
      </c>
      <c r="I213" s="95">
        <v>0</v>
      </c>
      <c r="J213" s="95">
        <v>0</v>
      </c>
      <c r="K213" s="95">
        <v>0</v>
      </c>
      <c r="L213" s="95">
        <v>0</v>
      </c>
      <c r="M213" s="95">
        <v>0</v>
      </c>
      <c r="N213" s="105">
        <f t="shared" si="21"/>
        <v>0</v>
      </c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</row>
    <row r="214" spans="1:107">
      <c r="A214" s="32" t="str">
        <f>Tabela410[[#Headers],[WILLIAM SHULL]]</f>
        <v>WILLIAM SHULL</v>
      </c>
      <c r="B214" s="95">
        <v>0</v>
      </c>
      <c r="C214" s="95">
        <v>0</v>
      </c>
      <c r="D214" s="95">
        <v>0</v>
      </c>
      <c r="E214" s="95">
        <v>0</v>
      </c>
      <c r="F214" s="95">
        <v>0</v>
      </c>
      <c r="G214" s="95">
        <v>0</v>
      </c>
      <c r="H214" s="95">
        <v>0</v>
      </c>
      <c r="I214" s="95">
        <v>0</v>
      </c>
      <c r="J214" s="95">
        <v>0</v>
      </c>
      <c r="K214" s="95">
        <v>0</v>
      </c>
      <c r="L214" s="95">
        <v>0</v>
      </c>
      <c r="M214" s="95">
        <v>0</v>
      </c>
      <c r="N214" s="105">
        <f t="shared" si="21"/>
        <v>0</v>
      </c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</row>
    <row r="215" spans="1:107">
      <c r="A215" s="32" t="str">
        <f>Tabela410[[#Headers],[MGM]]</f>
        <v>MGM</v>
      </c>
      <c r="B215" s="95">
        <v>0</v>
      </c>
      <c r="C215" s="95">
        <v>0</v>
      </c>
      <c r="D215" s="95">
        <v>0</v>
      </c>
      <c r="E215" s="95">
        <v>0</v>
      </c>
      <c r="F215" s="95">
        <v>0</v>
      </c>
      <c r="G215" s="95">
        <v>0</v>
      </c>
      <c r="H215" s="95">
        <v>0</v>
      </c>
      <c r="I215" s="95">
        <v>0</v>
      </c>
      <c r="J215" s="95">
        <v>0</v>
      </c>
      <c r="K215" s="95">
        <v>0</v>
      </c>
      <c r="L215" s="95">
        <v>0</v>
      </c>
      <c r="M215" s="95">
        <v>0</v>
      </c>
      <c r="N215" s="105">
        <f t="shared" si="21"/>
        <v>0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</row>
    <row r="216" spans="1:107">
      <c r="A216" s="32" t="str">
        <f>Tabela410[[#Headers],[NAVAS]]</f>
        <v>NAVAS</v>
      </c>
      <c r="B216" s="95">
        <v>100</v>
      </c>
      <c r="C216" s="95">
        <v>0</v>
      </c>
      <c r="D216" s="95">
        <v>0</v>
      </c>
      <c r="E216" s="95">
        <v>0</v>
      </c>
      <c r="F216" s="95">
        <v>0</v>
      </c>
      <c r="G216" s="95">
        <v>0</v>
      </c>
      <c r="H216" s="95">
        <v>0</v>
      </c>
      <c r="I216" s="95">
        <v>0</v>
      </c>
      <c r="J216" s="95">
        <v>0</v>
      </c>
      <c r="K216" s="95">
        <v>0</v>
      </c>
      <c r="L216" s="95">
        <v>0</v>
      </c>
      <c r="M216" s="95">
        <v>0</v>
      </c>
      <c r="N216" s="105">
        <f t="shared" si="21"/>
        <v>0</v>
      </c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</row>
    <row r="217" spans="1:107">
      <c r="A217" s="32" t="str">
        <f>Tabela410[[#Headers],[OJ CHUANTS ]]</f>
        <v xml:space="preserve">OJ CHUANTS </v>
      </c>
      <c r="B217" s="95">
        <v>0</v>
      </c>
      <c r="C217" s="95">
        <v>0</v>
      </c>
      <c r="D217" s="95">
        <v>0</v>
      </c>
      <c r="E217" s="95">
        <v>0</v>
      </c>
      <c r="F217" s="95">
        <v>0</v>
      </c>
      <c r="G217" s="95">
        <v>0</v>
      </c>
      <c r="H217" s="95">
        <v>0</v>
      </c>
      <c r="I217" s="95">
        <v>0</v>
      </c>
      <c r="J217" s="95">
        <v>0</v>
      </c>
      <c r="K217" s="95">
        <v>0</v>
      </c>
      <c r="L217" s="95">
        <v>0</v>
      </c>
      <c r="M217" s="95">
        <v>0</v>
      </c>
      <c r="N217" s="105">
        <f t="shared" si="21"/>
        <v>0</v>
      </c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</row>
    <row r="218" spans="1:107">
      <c r="A218" s="32" t="str">
        <f>Tabela410[[#Headers],[PIANCE]]</f>
        <v>PIANCE</v>
      </c>
      <c r="B218" s="95">
        <v>0</v>
      </c>
      <c r="C218" s="95">
        <v>0</v>
      </c>
      <c r="D218" s="95">
        <v>0</v>
      </c>
      <c r="E218" s="95">
        <v>0</v>
      </c>
      <c r="F218" s="95">
        <v>0</v>
      </c>
      <c r="G218" s="95">
        <v>0</v>
      </c>
      <c r="H218" s="95">
        <v>0</v>
      </c>
      <c r="I218" s="95">
        <v>0</v>
      </c>
      <c r="J218" s="95">
        <v>0</v>
      </c>
      <c r="K218" s="95">
        <v>0</v>
      </c>
      <c r="L218" s="95">
        <v>0</v>
      </c>
      <c r="M218" s="95">
        <v>0</v>
      </c>
      <c r="N218" s="105">
        <f t="shared" si="21"/>
        <v>0</v>
      </c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</row>
    <row r="219" spans="1:107">
      <c r="A219" s="32" t="str">
        <f>Tabela410[[#Headers],[POLTRONIERI]]</f>
        <v>POLTRONIERI</v>
      </c>
      <c r="B219" s="95">
        <v>0</v>
      </c>
      <c r="C219" s="95">
        <v>0</v>
      </c>
      <c r="D219" s="95">
        <v>0</v>
      </c>
      <c r="E219" s="95">
        <v>0</v>
      </c>
      <c r="F219" s="95">
        <v>0</v>
      </c>
      <c r="G219" s="95">
        <v>0</v>
      </c>
      <c r="H219" s="95">
        <v>0</v>
      </c>
      <c r="I219" s="95">
        <v>0</v>
      </c>
      <c r="J219" s="95">
        <v>0</v>
      </c>
      <c r="K219" s="95">
        <v>0</v>
      </c>
      <c r="L219" s="95">
        <v>0</v>
      </c>
      <c r="M219" s="95">
        <v>0</v>
      </c>
      <c r="N219" s="105">
        <f t="shared" si="21"/>
        <v>0</v>
      </c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</row>
    <row r="220" spans="1:107">
      <c r="A220" s="32" t="str">
        <f>Tabela410[[#Headers],[PORTO UNIÃO ]]</f>
        <v xml:space="preserve">PORTO UNIÃO </v>
      </c>
      <c r="B220" s="95">
        <v>0</v>
      </c>
      <c r="C220" s="95">
        <v>0</v>
      </c>
      <c r="D220" s="95">
        <v>0</v>
      </c>
      <c r="E220" s="95">
        <v>0</v>
      </c>
      <c r="F220" s="95">
        <v>0</v>
      </c>
      <c r="G220" s="95">
        <v>0</v>
      </c>
      <c r="H220" s="95">
        <v>0</v>
      </c>
      <c r="I220" s="95">
        <v>0</v>
      </c>
      <c r="J220" s="95">
        <v>0</v>
      </c>
      <c r="K220" s="95">
        <v>0</v>
      </c>
      <c r="L220" s="95">
        <v>0</v>
      </c>
      <c r="M220" s="95">
        <v>0</v>
      </c>
      <c r="N220" s="105">
        <f t="shared" si="21"/>
        <v>0</v>
      </c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</row>
    <row r="221" spans="1:107">
      <c r="A221" s="32" t="str">
        <f>Tabela410[[#Headers],[PRESOTTO]]</f>
        <v>PRESOTTO</v>
      </c>
      <c r="B221" s="95">
        <v>0</v>
      </c>
      <c r="C221" s="95">
        <v>0</v>
      </c>
      <c r="D221" s="95">
        <v>0</v>
      </c>
      <c r="E221" s="95">
        <v>0</v>
      </c>
      <c r="F221" s="95">
        <v>0</v>
      </c>
      <c r="G221" s="95">
        <v>0</v>
      </c>
      <c r="H221" s="95">
        <v>0</v>
      </c>
      <c r="I221" s="95">
        <v>0</v>
      </c>
      <c r="J221" s="95">
        <v>0</v>
      </c>
      <c r="K221" s="95">
        <v>0</v>
      </c>
      <c r="L221" s="95">
        <v>0</v>
      </c>
      <c r="M221" s="95">
        <v>0</v>
      </c>
      <c r="N221" s="105">
        <f t="shared" si="21"/>
        <v>0</v>
      </c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</row>
    <row r="222" spans="1:107">
      <c r="A222" s="32" t="str">
        <f>Tabela410[[#Headers],[RIVA]]</f>
        <v>RIVA</v>
      </c>
      <c r="B222" s="95">
        <v>0</v>
      </c>
      <c r="C222" s="95">
        <v>0</v>
      </c>
      <c r="D222" s="95">
        <v>0</v>
      </c>
      <c r="E222" s="95">
        <v>0</v>
      </c>
      <c r="F222" s="95">
        <v>0</v>
      </c>
      <c r="G222" s="95">
        <v>0</v>
      </c>
      <c r="H222" s="95">
        <v>0</v>
      </c>
      <c r="I222" s="95">
        <v>0</v>
      </c>
      <c r="J222" s="95">
        <v>0</v>
      </c>
      <c r="K222" s="95">
        <v>0</v>
      </c>
      <c r="L222" s="95">
        <v>0</v>
      </c>
      <c r="M222" s="95">
        <v>0</v>
      </c>
      <c r="N222" s="105">
        <f t="shared" si="21"/>
        <v>0</v>
      </c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</row>
    <row r="223" spans="1:107">
      <c r="A223" s="32" t="str">
        <f>Tabela410[[#Headers],[SANCHES]]</f>
        <v>SANCHES</v>
      </c>
      <c r="B223" s="95">
        <v>100</v>
      </c>
      <c r="C223" s="95">
        <v>0</v>
      </c>
      <c r="D223" s="95">
        <v>0</v>
      </c>
      <c r="E223" s="95">
        <v>0</v>
      </c>
      <c r="F223" s="95">
        <v>0</v>
      </c>
      <c r="G223" s="95">
        <v>0</v>
      </c>
      <c r="H223" s="95">
        <v>0</v>
      </c>
      <c r="I223" s="95">
        <v>0</v>
      </c>
      <c r="J223" s="95">
        <v>0</v>
      </c>
      <c r="K223" s="95">
        <v>0</v>
      </c>
      <c r="L223" s="95">
        <v>0</v>
      </c>
      <c r="M223" s="95">
        <v>0</v>
      </c>
      <c r="N223" s="105">
        <f t="shared" si="21"/>
        <v>0</v>
      </c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</row>
    <row r="224" spans="1:107">
      <c r="A224" s="32" t="str">
        <f>Tabela410[[#Headers],[STAM]]</f>
        <v>STAM</v>
      </c>
      <c r="B224" s="95">
        <v>0</v>
      </c>
      <c r="C224" s="95">
        <v>0</v>
      </c>
      <c r="D224" s="95">
        <v>0</v>
      </c>
      <c r="E224" s="95">
        <v>0</v>
      </c>
      <c r="F224" s="95">
        <v>0</v>
      </c>
      <c r="G224" s="95">
        <v>0</v>
      </c>
      <c r="H224" s="95">
        <v>0</v>
      </c>
      <c r="I224" s="95">
        <v>0</v>
      </c>
      <c r="J224" s="95">
        <v>0</v>
      </c>
      <c r="K224" s="95">
        <v>0</v>
      </c>
      <c r="L224" s="95">
        <v>0</v>
      </c>
      <c r="M224" s="95">
        <v>0</v>
      </c>
      <c r="N224" s="105">
        <f t="shared" si="21"/>
        <v>0</v>
      </c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</row>
    <row r="225" spans="1:107">
      <c r="A225" s="32" t="str">
        <f>Tabela410[[#Headers],[JJ BATENTES]]</f>
        <v>JJ BATENTES</v>
      </c>
      <c r="B225" s="95">
        <v>0</v>
      </c>
      <c r="C225" s="95">
        <v>0</v>
      </c>
      <c r="D225" s="95">
        <v>0</v>
      </c>
      <c r="E225" s="95">
        <v>0</v>
      </c>
      <c r="F225" s="95">
        <v>0</v>
      </c>
      <c r="G225" s="95">
        <v>0</v>
      </c>
      <c r="H225" s="95">
        <v>0</v>
      </c>
      <c r="I225" s="95">
        <v>0</v>
      </c>
      <c r="J225" s="95">
        <v>0</v>
      </c>
      <c r="K225" s="95">
        <v>0</v>
      </c>
      <c r="L225" s="95">
        <v>0</v>
      </c>
      <c r="M225" s="95">
        <v>0</v>
      </c>
      <c r="N225" s="105">
        <f t="shared" si="21"/>
        <v>0</v>
      </c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</row>
    <row r="226" spans="1:107">
      <c r="A226" s="32" t="str">
        <f>Tabela410[[#Headers],[ALAMO]]</f>
        <v>ALAMO</v>
      </c>
      <c r="B226" s="95">
        <v>0</v>
      </c>
      <c r="C226" s="95">
        <v>0</v>
      </c>
      <c r="D226" s="95">
        <v>0</v>
      </c>
      <c r="E226" s="95">
        <v>0</v>
      </c>
      <c r="F226" s="95">
        <v>0</v>
      </c>
      <c r="G226" s="95">
        <v>0</v>
      </c>
      <c r="H226" s="95">
        <v>0</v>
      </c>
      <c r="I226" s="95">
        <v>0</v>
      </c>
      <c r="J226" s="95">
        <v>0</v>
      </c>
      <c r="K226" s="95">
        <v>0</v>
      </c>
      <c r="L226" s="95">
        <v>0</v>
      </c>
      <c r="M226" s="95">
        <v>0</v>
      </c>
      <c r="N226" s="105">
        <f t="shared" si="21"/>
        <v>0</v>
      </c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</row>
    <row r="227" spans="1:107">
      <c r="A227" s="32" t="str">
        <f>Tabela410[[#Headers],[ALUMINIO 2A]]</f>
        <v>ALUMINIO 2A</v>
      </c>
      <c r="B227" s="95">
        <v>0</v>
      </c>
      <c r="C227" s="95">
        <v>0</v>
      </c>
      <c r="D227" s="95">
        <v>0</v>
      </c>
      <c r="E227" s="95">
        <v>0</v>
      </c>
      <c r="F227" s="95">
        <v>0</v>
      </c>
      <c r="G227" s="95">
        <v>0</v>
      </c>
      <c r="H227" s="95">
        <v>0</v>
      </c>
      <c r="I227" s="95">
        <v>0</v>
      </c>
      <c r="J227" s="95">
        <v>0</v>
      </c>
      <c r="K227" s="95">
        <v>0</v>
      </c>
      <c r="L227" s="95">
        <v>0</v>
      </c>
      <c r="M227" s="95">
        <v>0</v>
      </c>
      <c r="N227" s="105">
        <f t="shared" si="21"/>
        <v>0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</row>
    <row r="228" spans="1:107">
      <c r="A228" s="32" t="str">
        <f>Tabela4[[#Headers],[UNIPORTAS]]</f>
        <v>UNIPORTAS</v>
      </c>
      <c r="B228" s="95">
        <v>0</v>
      </c>
      <c r="C228" s="95">
        <v>0</v>
      </c>
      <c r="D228" s="95">
        <v>0</v>
      </c>
      <c r="E228" s="95">
        <v>0</v>
      </c>
      <c r="F228" s="95">
        <v>0</v>
      </c>
      <c r="G228" s="95">
        <v>0</v>
      </c>
      <c r="H228" s="95">
        <v>0</v>
      </c>
      <c r="I228" s="95">
        <v>0</v>
      </c>
      <c r="J228" s="95">
        <v>0</v>
      </c>
      <c r="K228" s="95">
        <v>0</v>
      </c>
      <c r="L228" s="95">
        <v>0</v>
      </c>
      <c r="M228" s="95">
        <v>0</v>
      </c>
      <c r="N228" s="105">
        <f t="shared" si="21"/>
        <v>0</v>
      </c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</row>
    <row r="229" spans="1:107">
      <c r="A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</row>
    <row r="230" spans="1:107">
      <c r="A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</row>
    <row r="231" spans="1:107">
      <c r="A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</row>
    <row r="232" spans="1:107">
      <c r="A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</row>
    <row r="233" spans="1:107">
      <c r="A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</row>
    <row r="234" spans="1:107">
      <c r="A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</row>
    <row r="235" spans="1:107">
      <c r="A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</row>
    <row r="236" spans="1:107">
      <c r="A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</row>
    <row r="237" spans="1:107">
      <c r="A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</row>
    <row r="238" spans="1:107">
      <c r="A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</row>
    <row r="239" spans="1:107">
      <c r="A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</row>
    <row r="240" spans="1:107">
      <c r="A240" s="96" t="s">
        <v>9</v>
      </c>
      <c r="B240" s="96" t="s">
        <v>139</v>
      </c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</row>
    <row r="241" spans="1:107">
      <c r="A241" s="94" t="str">
        <f>IF(B241&gt;0,A202," ")</f>
        <v xml:space="preserve"> </v>
      </c>
      <c r="B241" s="99">
        <f>N202</f>
        <v>0</v>
      </c>
      <c r="C241" s="106" t="str">
        <f>IF(B241&lt;=0," ",B241)</f>
        <v xml:space="preserve"> </v>
      </c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</row>
    <row r="242" spans="1:107">
      <c r="A242" s="94" t="str">
        <f t="shared" ref="A242:A267" si="22">IF(B242&gt;0,A203," ")</f>
        <v xml:space="preserve"> </v>
      </c>
      <c r="B242" s="99">
        <f>N203</f>
        <v>0</v>
      </c>
      <c r="C242" s="106" t="str">
        <f t="shared" ref="C242:C267" si="23">IF(B242&lt;=0," ",B242)</f>
        <v xml:space="preserve"> </v>
      </c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</row>
    <row r="243" spans="1:107">
      <c r="A243" s="94" t="str">
        <f t="shared" si="22"/>
        <v xml:space="preserve"> </v>
      </c>
      <c r="B243" s="99">
        <f t="shared" ref="B243:B267" si="24">N204</f>
        <v>0</v>
      </c>
      <c r="C243" s="106" t="str">
        <f t="shared" si="23"/>
        <v xml:space="preserve"> </v>
      </c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</row>
    <row r="244" spans="1:107">
      <c r="A244" s="94" t="str">
        <f t="shared" si="22"/>
        <v xml:space="preserve"> </v>
      </c>
      <c r="B244" s="99">
        <f t="shared" si="24"/>
        <v>0</v>
      </c>
      <c r="C244" s="106" t="str">
        <f t="shared" si="23"/>
        <v xml:space="preserve"> </v>
      </c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</row>
    <row r="245" spans="1:107">
      <c r="A245" s="94" t="str">
        <f t="shared" si="22"/>
        <v xml:space="preserve"> </v>
      </c>
      <c r="B245" s="99">
        <f t="shared" si="24"/>
        <v>0</v>
      </c>
      <c r="C245" s="106" t="str">
        <f t="shared" si="23"/>
        <v xml:space="preserve"> </v>
      </c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</row>
    <row r="246" spans="1:107">
      <c r="A246" s="94" t="str">
        <f t="shared" si="22"/>
        <v xml:space="preserve"> </v>
      </c>
      <c r="B246" s="99">
        <f t="shared" si="24"/>
        <v>0</v>
      </c>
      <c r="C246" s="106" t="str">
        <f t="shared" si="23"/>
        <v xml:space="preserve"> </v>
      </c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</row>
    <row r="247" spans="1:107">
      <c r="A247" s="94" t="str">
        <f t="shared" si="22"/>
        <v xml:space="preserve"> </v>
      </c>
      <c r="B247" s="99">
        <f t="shared" si="24"/>
        <v>0</v>
      </c>
      <c r="C247" s="106" t="str">
        <f t="shared" si="23"/>
        <v xml:space="preserve"> </v>
      </c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</row>
    <row r="248" spans="1:107">
      <c r="A248" s="94" t="str">
        <f t="shared" si="22"/>
        <v xml:space="preserve"> </v>
      </c>
      <c r="B248" s="99">
        <f t="shared" si="24"/>
        <v>0</v>
      </c>
      <c r="C248" s="106" t="str">
        <f t="shared" si="23"/>
        <v xml:space="preserve"> </v>
      </c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</row>
    <row r="249" spans="1:107">
      <c r="A249" s="94" t="str">
        <f t="shared" si="22"/>
        <v xml:space="preserve"> </v>
      </c>
      <c r="B249" s="99">
        <f t="shared" si="24"/>
        <v>0</v>
      </c>
      <c r="C249" s="106" t="str">
        <f t="shared" si="23"/>
        <v xml:space="preserve"> </v>
      </c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</row>
    <row r="250" spans="1:107">
      <c r="A250" s="94" t="str">
        <f t="shared" si="22"/>
        <v xml:space="preserve"> </v>
      </c>
      <c r="B250" s="99">
        <f t="shared" si="24"/>
        <v>0</v>
      </c>
      <c r="C250" s="106" t="str">
        <f t="shared" si="23"/>
        <v xml:space="preserve"> </v>
      </c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</row>
    <row r="251" spans="1:107">
      <c r="A251" s="94" t="str">
        <f t="shared" si="22"/>
        <v xml:space="preserve"> </v>
      </c>
      <c r="B251" s="99">
        <f t="shared" si="24"/>
        <v>0</v>
      </c>
      <c r="C251" s="106" t="str">
        <f t="shared" si="23"/>
        <v xml:space="preserve"> </v>
      </c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</row>
    <row r="252" spans="1:107">
      <c r="A252" s="94" t="str">
        <f t="shared" si="22"/>
        <v xml:space="preserve"> </v>
      </c>
      <c r="B252" s="99">
        <f t="shared" si="24"/>
        <v>0</v>
      </c>
      <c r="C252" s="106" t="str">
        <f t="shared" si="23"/>
        <v xml:space="preserve"> </v>
      </c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</row>
    <row r="253" spans="1:107">
      <c r="A253" s="94" t="str">
        <f t="shared" si="22"/>
        <v xml:space="preserve"> </v>
      </c>
      <c r="B253" s="99">
        <f t="shared" si="24"/>
        <v>0</v>
      </c>
      <c r="C253" s="106" t="str">
        <f t="shared" si="23"/>
        <v xml:space="preserve"> </v>
      </c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</row>
    <row r="254" spans="1:107">
      <c r="A254" s="94" t="str">
        <f t="shared" si="22"/>
        <v xml:space="preserve"> </v>
      </c>
      <c r="B254" s="99">
        <f t="shared" si="24"/>
        <v>0</v>
      </c>
      <c r="C254" s="106" t="str">
        <f t="shared" si="23"/>
        <v xml:space="preserve"> </v>
      </c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</row>
    <row r="255" spans="1:107">
      <c r="A255" s="94" t="str">
        <f t="shared" si="22"/>
        <v xml:space="preserve"> </v>
      </c>
      <c r="B255" s="99">
        <f t="shared" si="24"/>
        <v>0</v>
      </c>
      <c r="C255" s="106" t="str">
        <f t="shared" si="23"/>
        <v xml:space="preserve"> </v>
      </c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</row>
    <row r="256" spans="1:107">
      <c r="A256" s="94" t="str">
        <f t="shared" si="22"/>
        <v xml:space="preserve"> </v>
      </c>
      <c r="B256" s="99">
        <f t="shared" si="24"/>
        <v>0</v>
      </c>
      <c r="C256" s="106" t="str">
        <f t="shared" si="23"/>
        <v xml:space="preserve"> </v>
      </c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</row>
    <row r="257" spans="1:107">
      <c r="A257" s="94" t="str">
        <f t="shared" si="22"/>
        <v xml:space="preserve"> </v>
      </c>
      <c r="B257" s="99">
        <f t="shared" si="24"/>
        <v>0</v>
      </c>
      <c r="C257" s="106" t="str">
        <f t="shared" si="23"/>
        <v xml:space="preserve"> </v>
      </c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</row>
    <row r="258" spans="1:107">
      <c r="A258" s="94" t="str">
        <f t="shared" si="22"/>
        <v xml:space="preserve"> </v>
      </c>
      <c r="B258" s="99">
        <f t="shared" si="24"/>
        <v>0</v>
      </c>
      <c r="C258" s="106" t="str">
        <f t="shared" si="23"/>
        <v xml:space="preserve"> </v>
      </c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</row>
    <row r="259" spans="1:107">
      <c r="A259" s="94" t="str">
        <f t="shared" si="22"/>
        <v xml:space="preserve"> </v>
      </c>
      <c r="B259" s="99">
        <f t="shared" si="24"/>
        <v>0</v>
      </c>
      <c r="C259" s="106" t="str">
        <f t="shared" si="23"/>
        <v xml:space="preserve"> </v>
      </c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</row>
    <row r="260" spans="1:107">
      <c r="A260" s="94" t="str">
        <f t="shared" si="22"/>
        <v xml:space="preserve"> </v>
      </c>
      <c r="B260" s="99">
        <f t="shared" si="24"/>
        <v>0</v>
      </c>
      <c r="C260" s="106" t="str">
        <f t="shared" si="23"/>
        <v xml:space="preserve"> </v>
      </c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</row>
    <row r="261" spans="1:107">
      <c r="A261" s="94" t="str">
        <f t="shared" si="22"/>
        <v xml:space="preserve"> </v>
      </c>
      <c r="B261" s="99">
        <f t="shared" si="24"/>
        <v>0</v>
      </c>
      <c r="C261" s="106" t="str">
        <f t="shared" si="23"/>
        <v xml:space="preserve"> </v>
      </c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</row>
    <row r="262" spans="1:107">
      <c r="A262" s="94" t="str">
        <f t="shared" si="22"/>
        <v xml:space="preserve"> </v>
      </c>
      <c r="B262" s="99">
        <f t="shared" si="24"/>
        <v>0</v>
      </c>
      <c r="C262" s="106" t="str">
        <f t="shared" si="23"/>
        <v xml:space="preserve"> </v>
      </c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</row>
    <row r="263" spans="1:107">
      <c r="A263" s="94" t="str">
        <f t="shared" si="22"/>
        <v xml:space="preserve"> </v>
      </c>
      <c r="B263" s="99">
        <f t="shared" si="24"/>
        <v>0</v>
      </c>
      <c r="C263" s="106" t="str">
        <f t="shared" si="23"/>
        <v xml:space="preserve"> </v>
      </c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</row>
    <row r="264" spans="1:107">
      <c r="A264" s="94" t="str">
        <f t="shared" si="22"/>
        <v xml:space="preserve"> </v>
      </c>
      <c r="B264" s="99">
        <f t="shared" si="24"/>
        <v>0</v>
      </c>
      <c r="C264" s="106" t="str">
        <f t="shared" si="23"/>
        <v xml:space="preserve"> </v>
      </c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</row>
    <row r="265" spans="1:107">
      <c r="A265" s="94" t="str">
        <f t="shared" si="22"/>
        <v xml:space="preserve"> </v>
      </c>
      <c r="B265" s="99">
        <f t="shared" si="24"/>
        <v>0</v>
      </c>
      <c r="C265" s="106" t="str">
        <f t="shared" si="23"/>
        <v xml:space="preserve"> </v>
      </c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</row>
    <row r="266" spans="1:107">
      <c r="A266" s="94" t="str">
        <f t="shared" si="22"/>
        <v xml:space="preserve"> </v>
      </c>
      <c r="B266" s="99">
        <f t="shared" si="24"/>
        <v>0</v>
      </c>
      <c r="C266" s="106" t="str">
        <f t="shared" si="23"/>
        <v xml:space="preserve"> </v>
      </c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</row>
    <row r="267" spans="1:107">
      <c r="A267" s="94" t="str">
        <f t="shared" si="22"/>
        <v xml:space="preserve"> </v>
      </c>
      <c r="B267" s="99">
        <f t="shared" si="24"/>
        <v>0</v>
      </c>
      <c r="C267" s="106" t="str">
        <f t="shared" si="23"/>
        <v xml:space="preserve"> </v>
      </c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</row>
    <row r="268" spans="1:107">
      <c r="A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</row>
    <row r="269" spans="1:107">
      <c r="A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</row>
    <row r="270" spans="1:107">
      <c r="A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</row>
    <row r="271" spans="1:107">
      <c r="A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</row>
    <row r="272" spans="1:107">
      <c r="A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</row>
    <row r="273" spans="1:107">
      <c r="A273" s="110" t="s">
        <v>9</v>
      </c>
      <c r="B273" s="108" t="s">
        <v>139</v>
      </c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</row>
    <row r="274" spans="1:107">
      <c r="A274" s="109" t="str">
        <f>IF(B274&gt;0,A241," ")</f>
        <v xml:space="preserve"> </v>
      </c>
      <c r="B274" s="123">
        <f t="shared" ref="B274" si="25">B241</f>
        <v>0</v>
      </c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</row>
    <row r="275" spans="1:107">
      <c r="A275" s="109" t="str">
        <f>IF(B275&gt;0,A254," ")</f>
        <v xml:space="preserve"> </v>
      </c>
      <c r="B275" s="123">
        <f>B254</f>
        <v>0</v>
      </c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</row>
    <row r="276" spans="1:107">
      <c r="A276" s="109" t="str">
        <f>IF(B276&gt;0,A255," ")</f>
        <v xml:space="preserve"> </v>
      </c>
      <c r="B276" s="123">
        <f>B255</f>
        <v>0</v>
      </c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</row>
    <row r="277" spans="1:107">
      <c r="A277" s="109" t="str">
        <f>IF(B277&gt;0,A258," ")</f>
        <v xml:space="preserve"> </v>
      </c>
      <c r="B277" s="123">
        <f>B258</f>
        <v>0</v>
      </c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</row>
    <row r="278" spans="1:107">
      <c r="A278" s="109" t="str">
        <f>IF(B278&gt;0,A261," ")</f>
        <v xml:space="preserve"> </v>
      </c>
      <c r="B278" s="123">
        <f>B261</f>
        <v>0</v>
      </c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</row>
    <row r="279" spans="1:107">
      <c r="A279" s="109" t="str">
        <f>IF(B279&gt;0,A262," ")</f>
        <v xml:space="preserve"> </v>
      </c>
      <c r="B279" s="123">
        <f>B262</f>
        <v>0</v>
      </c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</row>
    <row r="280" spans="1:107">
      <c r="A280" s="109" t="str">
        <f>IF(B280&gt;0,A265," ")</f>
        <v xml:space="preserve"> </v>
      </c>
      <c r="B280" s="123">
        <f>B265</f>
        <v>0</v>
      </c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</row>
    <row r="281" spans="1:107">
      <c r="A281" s="107" t="str">
        <f>IF(B281&gt;0,A267," ")</f>
        <v xml:space="preserve"> </v>
      </c>
      <c r="B281" s="124">
        <f>B267</f>
        <v>0</v>
      </c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</row>
    <row r="282" spans="1:107">
      <c r="A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</row>
    <row r="283" spans="1:107">
      <c r="A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</row>
    <row r="284" spans="1:107">
      <c r="A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</row>
    <row r="285" spans="1:107">
      <c r="A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</row>
    <row r="286" spans="1:107">
      <c r="A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</row>
    <row r="287" spans="1:107">
      <c r="A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</row>
    <row r="288" spans="1:107">
      <c r="A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</row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s="39" customFormat="1"/>
    <row r="317" s="39" customFormat="1"/>
    <row r="318" s="39" customFormat="1"/>
    <row r="319" s="39" customFormat="1"/>
    <row r="320" s="39" customFormat="1"/>
    <row r="321" s="39" customFormat="1"/>
    <row r="322" s="39" customFormat="1"/>
    <row r="323" s="39" customFormat="1"/>
    <row r="324" s="39" customFormat="1"/>
    <row r="325" s="39" customFormat="1"/>
    <row r="326" s="39" customFormat="1"/>
    <row r="327" s="39" customFormat="1"/>
    <row r="328" s="39" customFormat="1"/>
    <row r="329" s="39" customFormat="1"/>
    <row r="330" s="39" customFormat="1"/>
    <row r="331" s="39" customFormat="1"/>
    <row r="332" s="39" customFormat="1"/>
    <row r="333" s="39" customFormat="1"/>
    <row r="334" s="39" customFormat="1"/>
    <row r="335" s="39" customFormat="1"/>
    <row r="336" s="39" customFormat="1"/>
    <row r="337" s="39" customFormat="1"/>
    <row r="338" s="39" customFormat="1"/>
    <row r="339" s="39" customFormat="1"/>
    <row r="340" s="39" customFormat="1"/>
    <row r="341" s="39" customFormat="1"/>
    <row r="342" s="39" customFormat="1"/>
    <row r="343" s="39" customFormat="1"/>
    <row r="344" s="39" customFormat="1"/>
    <row r="345" s="39" customFormat="1"/>
    <row r="346" s="39" customFormat="1"/>
    <row r="347" s="39" customFormat="1"/>
    <row r="348" s="39" customFormat="1"/>
    <row r="349" s="39" customFormat="1"/>
    <row r="350" s="39" customFormat="1"/>
    <row r="351" s="39" customFormat="1"/>
    <row r="352" s="39" customFormat="1"/>
    <row r="353" s="39" customFormat="1"/>
    <row r="354" s="39" customFormat="1"/>
    <row r="355" s="39" customFormat="1"/>
    <row r="356" s="39" customFormat="1"/>
    <row r="357" s="39" customFormat="1"/>
    <row r="358" s="39" customFormat="1"/>
    <row r="359" s="39" customFormat="1"/>
    <row r="360" s="39" customFormat="1"/>
    <row r="361" s="39" customFormat="1"/>
    <row r="362" s="39" customFormat="1"/>
    <row r="363" s="39" customFormat="1"/>
    <row r="364" s="39" customFormat="1"/>
    <row r="365" s="39" customFormat="1"/>
    <row r="366" s="39" customFormat="1"/>
    <row r="367" s="39" customFormat="1"/>
    <row r="368" s="39" customFormat="1"/>
    <row r="369" s="39" customFormat="1"/>
    <row r="370" s="39" customFormat="1"/>
    <row r="371" s="39" customFormat="1"/>
    <row r="372" s="39" customFormat="1"/>
    <row r="373" s="39" customFormat="1"/>
    <row r="374" s="39" customFormat="1"/>
    <row r="375" s="39" customFormat="1"/>
    <row r="376" s="39" customFormat="1"/>
    <row r="377" s="39" customFormat="1"/>
    <row r="378" s="39" customFormat="1"/>
    <row r="379" s="39" customFormat="1"/>
    <row r="380" s="39" customFormat="1"/>
    <row r="381" s="39" customFormat="1"/>
    <row r="382" s="39" customFormat="1"/>
    <row r="383" s="39" customFormat="1"/>
    <row r="384" s="39" customFormat="1"/>
    <row r="385" s="39" customFormat="1"/>
    <row r="386" s="39" customFormat="1"/>
    <row r="387" s="39" customFormat="1"/>
    <row r="388" s="39" customFormat="1"/>
    <row r="389" s="39" customFormat="1"/>
    <row r="390" s="39" customFormat="1"/>
    <row r="391" s="39" customFormat="1"/>
    <row r="392" s="39" customFormat="1"/>
    <row r="393" s="39" customFormat="1"/>
    <row r="394" s="39" customFormat="1"/>
    <row r="395" s="39" customFormat="1"/>
    <row r="396" s="39" customFormat="1"/>
    <row r="397" s="39" customFormat="1"/>
    <row r="398" s="39" customFormat="1"/>
    <row r="399" s="39" customFormat="1"/>
    <row r="400" s="39" customFormat="1"/>
    <row r="401" s="39" customFormat="1"/>
    <row r="402" s="39" customFormat="1"/>
    <row r="403" s="39" customFormat="1"/>
    <row r="404" s="39" customFormat="1"/>
    <row r="405" s="39" customFormat="1"/>
    <row r="406" s="39" customFormat="1"/>
    <row r="407" s="39" customFormat="1"/>
    <row r="408" s="39" customFormat="1"/>
    <row r="409" s="39" customFormat="1"/>
    <row r="410" s="39" customFormat="1"/>
    <row r="411" s="39" customFormat="1"/>
    <row r="412" s="39" customFormat="1"/>
    <row r="413" s="39" customFormat="1"/>
    <row r="414" s="39" customFormat="1"/>
    <row r="415" s="39" customFormat="1"/>
    <row r="416" s="39" customFormat="1"/>
    <row r="417" s="39" customFormat="1"/>
    <row r="418" s="39" customFormat="1"/>
    <row r="419" s="39" customFormat="1"/>
    <row r="420" s="39" customFormat="1"/>
    <row r="421" s="39" customFormat="1"/>
    <row r="422" s="39" customFormat="1"/>
    <row r="423" s="39" customFormat="1"/>
    <row r="424" s="39" customFormat="1"/>
    <row r="425" s="39" customFormat="1"/>
    <row r="426" s="39" customFormat="1"/>
    <row r="427" s="39" customFormat="1"/>
    <row r="428" s="39" customFormat="1"/>
    <row r="429" s="39" customFormat="1"/>
    <row r="430" s="39" customFormat="1"/>
    <row r="431" s="39" customFormat="1"/>
    <row r="432" s="39" customFormat="1"/>
    <row r="433" s="39" customFormat="1"/>
    <row r="434" s="39" customFormat="1"/>
    <row r="435" s="39" customFormat="1"/>
    <row r="436" s="39" customFormat="1"/>
    <row r="437" s="39" customFormat="1"/>
    <row r="438" s="39" customFormat="1"/>
    <row r="439" s="39" customFormat="1"/>
    <row r="440" s="39" customFormat="1"/>
    <row r="441" s="39" customFormat="1"/>
    <row r="442" s="39" customFormat="1"/>
    <row r="443" s="39" customFormat="1"/>
    <row r="444" s="39" customFormat="1"/>
    <row r="445" s="39" customFormat="1"/>
    <row r="446" s="39" customFormat="1"/>
    <row r="447" s="39" customFormat="1"/>
    <row r="448" s="39" customFormat="1"/>
    <row r="449" s="39" customFormat="1"/>
    <row r="450" s="39" customFormat="1"/>
    <row r="451" s="39" customFormat="1"/>
    <row r="452" s="39" customFormat="1"/>
    <row r="453" s="39" customFormat="1"/>
    <row r="454" s="39" customFormat="1"/>
    <row r="455" s="39" customFormat="1"/>
    <row r="456" s="39" customFormat="1"/>
    <row r="457" s="39" customFormat="1"/>
    <row r="458" s="39" customFormat="1"/>
    <row r="459" s="39" customFormat="1"/>
    <row r="460" s="39" customFormat="1"/>
    <row r="461" s="39" customFormat="1"/>
    <row r="462" s="39" customFormat="1"/>
    <row r="463" s="39" customFormat="1"/>
    <row r="464" s="39" customFormat="1"/>
    <row r="465" s="39" customFormat="1"/>
    <row r="466" s="39" customFormat="1"/>
    <row r="467" s="39" customFormat="1"/>
    <row r="468" s="39" customFormat="1"/>
    <row r="469" s="39" customFormat="1"/>
    <row r="470" s="39" customFormat="1"/>
    <row r="471" s="39" customFormat="1"/>
    <row r="472" s="39" customFormat="1"/>
    <row r="473" s="39" customFormat="1"/>
    <row r="474" s="39" customFormat="1"/>
    <row r="475" s="39" customFormat="1"/>
    <row r="476" s="39" customFormat="1"/>
    <row r="477" s="39" customFormat="1"/>
    <row r="478" s="39" customFormat="1"/>
    <row r="479" s="39" customFormat="1"/>
    <row r="480" s="39" customFormat="1"/>
    <row r="481" s="39" customFormat="1"/>
    <row r="482" s="39" customFormat="1"/>
    <row r="483" s="39" customFormat="1"/>
    <row r="484" s="39" customFormat="1"/>
    <row r="485" s="39" customFormat="1"/>
    <row r="486" s="39" customFormat="1"/>
    <row r="487" s="39" customFormat="1"/>
    <row r="488" s="39" customFormat="1"/>
    <row r="489" s="39" customFormat="1"/>
    <row r="490" s="39" customFormat="1"/>
    <row r="491" s="39" customFormat="1"/>
    <row r="492" s="39" customFormat="1"/>
    <row r="493" s="39" customFormat="1"/>
    <row r="494" s="39" customFormat="1"/>
    <row r="495" s="39" customFormat="1"/>
    <row r="496" s="39" customFormat="1"/>
    <row r="497" s="39" customFormat="1"/>
    <row r="498" s="39" customFormat="1"/>
    <row r="499" s="39" customFormat="1"/>
    <row r="500" s="39" customFormat="1"/>
    <row r="501" s="39" customFormat="1"/>
    <row r="502" s="39" customFormat="1"/>
    <row r="503" s="39" customFormat="1"/>
    <row r="504" s="39" customFormat="1"/>
    <row r="505" s="39" customFormat="1"/>
    <row r="506" s="39" customFormat="1"/>
    <row r="507" s="39" customFormat="1"/>
    <row r="508" s="39" customFormat="1"/>
    <row r="509" s="39" customFormat="1"/>
    <row r="510" s="39" customFormat="1"/>
    <row r="511" s="39" customFormat="1"/>
    <row r="512" s="39" customFormat="1"/>
    <row r="513" s="39" customFormat="1"/>
    <row r="514" s="39" customFormat="1"/>
    <row r="515" s="39" customFormat="1"/>
    <row r="516" s="39" customFormat="1"/>
    <row r="517" s="39" customFormat="1"/>
    <row r="518" s="39" customFormat="1"/>
    <row r="519" s="39" customFormat="1"/>
    <row r="520" s="39" customFormat="1"/>
    <row r="521" s="39" customFormat="1"/>
    <row r="522" s="39" customFormat="1"/>
    <row r="523" s="39" customFormat="1"/>
    <row r="524" s="39" customFormat="1"/>
    <row r="525" s="39" customFormat="1"/>
    <row r="526" s="39" customFormat="1"/>
    <row r="527" s="39" customFormat="1"/>
    <row r="528" s="39" customFormat="1"/>
    <row r="529" s="39" customFormat="1"/>
    <row r="530" s="39" customFormat="1"/>
    <row r="531" s="39" customFormat="1"/>
    <row r="532" s="39" customFormat="1"/>
    <row r="533" s="39" customFormat="1"/>
    <row r="534" s="39" customFormat="1"/>
  </sheetData>
  <mergeCells count="6">
    <mergeCell ref="B87:L87"/>
    <mergeCell ref="AC87:AC88"/>
    <mergeCell ref="G3:G4"/>
    <mergeCell ref="B36:AC36"/>
    <mergeCell ref="B37:L37"/>
    <mergeCell ref="AC37:AC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6"/>
  <dimension ref="A1:DC531"/>
  <sheetViews>
    <sheetView workbookViewId="0"/>
  </sheetViews>
  <sheetFormatPr defaultRowHeight="15"/>
  <cols>
    <col min="1" max="1" width="15.140625" style="39" customWidth="1"/>
    <col min="2" max="6" width="14.7109375" customWidth="1"/>
    <col min="7" max="7" width="16.140625" customWidth="1"/>
    <col min="8" max="8" width="14.7109375" customWidth="1"/>
    <col min="9" max="9" width="15.7109375" customWidth="1"/>
    <col min="10" max="12" width="14.7109375" customWidth="1"/>
    <col min="13" max="13" width="15" customWidth="1"/>
    <col min="14" max="14" width="17" customWidth="1"/>
    <col min="15" max="18" width="14.7109375" customWidth="1"/>
    <col min="19" max="19" width="14.85546875" customWidth="1"/>
    <col min="20" max="20" width="16.28515625" customWidth="1"/>
    <col min="21" max="26" width="14.7109375" customWidth="1"/>
    <col min="27" max="27" width="15.28515625" customWidth="1"/>
    <col min="28" max="28" width="14.7109375" customWidth="1"/>
    <col min="29" max="29" width="14.85546875" customWidth="1"/>
    <col min="30" max="107" width="9.140625" style="39"/>
  </cols>
  <sheetData>
    <row r="1" spans="7:7" s="39" customFormat="1"/>
    <row r="2" spans="7:7" s="39" customFormat="1"/>
    <row r="3" spans="7:7" s="39" customFormat="1" ht="15" customHeight="1">
      <c r="G3" s="221">
        <f>AC52</f>
        <v>0</v>
      </c>
    </row>
    <row r="4" spans="7:7" s="39" customFormat="1" ht="15" customHeight="1">
      <c r="G4" s="222"/>
    </row>
    <row r="5" spans="7:7" s="39" customFormat="1"/>
    <row r="6" spans="7:7" s="39" customFormat="1"/>
    <row r="7" spans="7:7" s="39" customFormat="1"/>
    <row r="8" spans="7:7" s="39" customFormat="1"/>
    <row r="9" spans="7:7" s="39" customFormat="1"/>
    <row r="10" spans="7:7" s="39" customFormat="1"/>
    <row r="11" spans="7:7" s="39" customFormat="1"/>
    <row r="12" spans="7:7" s="39" customFormat="1"/>
    <row r="13" spans="7:7" s="39" customFormat="1"/>
    <row r="14" spans="7:7" s="39" customFormat="1"/>
    <row r="15" spans="7:7" s="39" customFormat="1"/>
    <row r="16" spans="7:7" s="39" customFormat="1"/>
    <row r="17" s="39" customFormat="1"/>
    <row r="18" s="39" customFormat="1"/>
    <row r="19" s="39" customFormat="1"/>
    <row r="20" s="39" customFormat="1"/>
    <row r="21" s="39" customFormat="1"/>
    <row r="22" s="39" customFormat="1"/>
    <row r="23" s="39" customFormat="1"/>
    <row r="24" s="39" customFormat="1"/>
    <row r="25" s="39" customFormat="1"/>
    <row r="26" s="39" customFormat="1"/>
    <row r="27" s="39" customFormat="1"/>
    <row r="28" s="39" customFormat="1"/>
    <row r="29" s="39" customFormat="1"/>
    <row r="30" s="39" customFormat="1"/>
    <row r="31" s="39" customFormat="1"/>
    <row r="32" s="39" customFormat="1"/>
    <row r="33" spans="1:29" s="39" customFormat="1" ht="15.75">
      <c r="A33" s="113"/>
    </row>
    <row r="34" spans="1:29" s="39" customFormat="1" ht="15" customHeight="1">
      <c r="A34" s="226"/>
    </row>
    <row r="35" spans="1:29" ht="23.25">
      <c r="A35" s="227"/>
      <c r="B35" s="228" t="s">
        <v>96</v>
      </c>
      <c r="C35" s="229"/>
      <c r="D35" s="229"/>
      <c r="E35" s="229"/>
      <c r="F35" s="229"/>
      <c r="G35" s="229"/>
      <c r="H35" s="229"/>
      <c r="I35" s="229"/>
      <c r="J35" s="229"/>
      <c r="K35" s="229"/>
      <c r="L35" s="229"/>
      <c r="M35" s="229"/>
      <c r="N35" s="229"/>
      <c r="O35" s="229"/>
      <c r="P35" s="229"/>
      <c r="Q35" s="229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30"/>
    </row>
    <row r="36" spans="1:29" ht="21">
      <c r="B36" s="231" t="s">
        <v>31</v>
      </c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59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3"/>
      <c r="AC36" s="233" t="s">
        <v>81</v>
      </c>
    </row>
    <row r="37" spans="1:29" ht="15" customHeight="1">
      <c r="A37" s="82" t="s">
        <v>99</v>
      </c>
      <c r="B37" s="83" t="s">
        <v>40</v>
      </c>
      <c r="C37" s="83" t="s">
        <v>89</v>
      </c>
      <c r="D37" s="83" t="s">
        <v>90</v>
      </c>
      <c r="E37" s="83" t="s">
        <v>91</v>
      </c>
      <c r="F37" s="83" t="s">
        <v>52</v>
      </c>
      <c r="G37" s="83" t="s">
        <v>92</v>
      </c>
      <c r="H37" s="83" t="s">
        <v>59</v>
      </c>
      <c r="I37" s="83" t="s">
        <v>62</v>
      </c>
      <c r="J37" s="83" t="s">
        <v>64</v>
      </c>
      <c r="K37" s="83" t="s">
        <v>65</v>
      </c>
      <c r="L37" s="83" t="s">
        <v>66</v>
      </c>
      <c r="M37" s="83" t="s">
        <v>67</v>
      </c>
      <c r="N37" s="83" t="s">
        <v>68</v>
      </c>
      <c r="O37" s="83" t="s">
        <v>43</v>
      </c>
      <c r="P37" s="83" t="s">
        <v>34</v>
      </c>
      <c r="Q37" s="83" t="s">
        <v>93</v>
      </c>
      <c r="R37" s="83" t="s">
        <v>72</v>
      </c>
      <c r="S37" s="83" t="s">
        <v>73</v>
      </c>
      <c r="T37" s="83" t="s">
        <v>94</v>
      </c>
      <c r="U37" s="83" t="s">
        <v>71</v>
      </c>
      <c r="V37" s="83" t="s">
        <v>56</v>
      </c>
      <c r="W37" s="83" t="s">
        <v>69</v>
      </c>
      <c r="X37" s="83" t="s">
        <v>75</v>
      </c>
      <c r="Y37" s="83" t="s">
        <v>76</v>
      </c>
      <c r="Z37" s="83" t="s">
        <v>77</v>
      </c>
      <c r="AA37" s="83" t="s">
        <v>78</v>
      </c>
      <c r="AB37" s="84" t="s">
        <v>79</v>
      </c>
      <c r="AC37" s="233"/>
    </row>
    <row r="38" spans="1:29">
      <c r="A38" s="85">
        <f>Dados!D39</f>
        <v>45658</v>
      </c>
      <c r="B38" s="47">
        <f>Dados!E39</f>
        <v>0</v>
      </c>
      <c r="C38" s="47">
        <f>Dados!F39</f>
        <v>0</v>
      </c>
      <c r="D38" s="47">
        <f>Dados!G39</f>
        <v>0</v>
      </c>
      <c r="E38" s="47">
        <f>Dados!H39</f>
        <v>0</v>
      </c>
      <c r="F38" s="47">
        <f>Dados!I39</f>
        <v>0</v>
      </c>
      <c r="G38" s="47">
        <f>Dados!J39</f>
        <v>0</v>
      </c>
      <c r="H38" s="47">
        <f>Dados!K39</f>
        <v>0</v>
      </c>
      <c r="I38" s="47">
        <f>Dados!L39</f>
        <v>0</v>
      </c>
      <c r="J38" s="47">
        <f>Dados!M39</f>
        <v>0</v>
      </c>
      <c r="K38" s="47">
        <f>Dados!N39</f>
        <v>0</v>
      </c>
      <c r="L38" s="47">
        <f>Dados!O39</f>
        <v>0</v>
      </c>
      <c r="M38" s="47">
        <f>Dados!P39</f>
        <v>0</v>
      </c>
      <c r="N38" s="47">
        <f>Dados!Q39</f>
        <v>0</v>
      </c>
      <c r="O38" s="47">
        <f>Dados!R39</f>
        <v>0</v>
      </c>
      <c r="P38" s="47">
        <f>Dados!S39</f>
        <v>0</v>
      </c>
      <c r="Q38" s="47">
        <f>Dados!T39</f>
        <v>0</v>
      </c>
      <c r="R38" s="47">
        <f>Dados!U39</f>
        <v>0</v>
      </c>
      <c r="S38" s="47">
        <f>Dados!V39</f>
        <v>0</v>
      </c>
      <c r="T38" s="47">
        <f>Dados!W39</f>
        <v>0</v>
      </c>
      <c r="U38" s="47">
        <f>Dados!X39</f>
        <v>0</v>
      </c>
      <c r="V38" s="47">
        <f>Dados!Y39</f>
        <v>0</v>
      </c>
      <c r="W38" s="47">
        <f>Dados!Z39</f>
        <v>0</v>
      </c>
      <c r="X38" s="47">
        <f>Dados!AA39</f>
        <v>0</v>
      </c>
      <c r="Y38" s="47">
        <f>Dados!AB39</f>
        <v>0</v>
      </c>
      <c r="Z38" s="47">
        <f>Dados!AC39</f>
        <v>0</v>
      </c>
      <c r="AA38" s="47">
        <f>Dados!AD39</f>
        <v>0</v>
      </c>
      <c r="AB38" s="79">
        <f>Dados!AE39</f>
        <v>0</v>
      </c>
      <c r="AC38" s="48">
        <f>SUM(B38:AB38)</f>
        <v>0</v>
      </c>
    </row>
    <row r="39" spans="1:29">
      <c r="A39" s="85">
        <f>Dados!D40</f>
        <v>45689</v>
      </c>
      <c r="B39" s="47">
        <f>Dados!E40</f>
        <v>0</v>
      </c>
      <c r="C39" s="47">
        <f>Dados!F40</f>
        <v>0</v>
      </c>
      <c r="D39" s="47">
        <f>Dados!G40</f>
        <v>0</v>
      </c>
      <c r="E39" s="47">
        <f>Dados!H40</f>
        <v>0</v>
      </c>
      <c r="F39" s="47">
        <f>Dados!I40</f>
        <v>0</v>
      </c>
      <c r="G39" s="47">
        <f>Dados!J40</f>
        <v>0</v>
      </c>
      <c r="H39" s="47">
        <f>Dados!K40</f>
        <v>0</v>
      </c>
      <c r="I39" s="47">
        <f>Dados!L40</f>
        <v>0</v>
      </c>
      <c r="J39" s="47">
        <f>Dados!M40</f>
        <v>0</v>
      </c>
      <c r="K39" s="47">
        <f>Dados!N40</f>
        <v>0</v>
      </c>
      <c r="L39" s="47">
        <f>Dados!O40</f>
        <v>0</v>
      </c>
      <c r="M39" s="47">
        <f>Dados!P40</f>
        <v>0</v>
      </c>
      <c r="N39" s="47">
        <f>Dados!Q40</f>
        <v>0</v>
      </c>
      <c r="O39" s="47">
        <f>Dados!R40</f>
        <v>0</v>
      </c>
      <c r="P39" s="47">
        <f>Dados!S40</f>
        <v>0</v>
      </c>
      <c r="Q39" s="47">
        <f>Dados!T40</f>
        <v>0</v>
      </c>
      <c r="R39" s="47">
        <f>Dados!U40</f>
        <v>0</v>
      </c>
      <c r="S39" s="47">
        <f>Dados!V40</f>
        <v>0</v>
      </c>
      <c r="T39" s="47">
        <f>Dados!W40</f>
        <v>0</v>
      </c>
      <c r="U39" s="47">
        <f>Dados!X40</f>
        <v>0</v>
      </c>
      <c r="V39" s="47">
        <f>Dados!Y40</f>
        <v>0</v>
      </c>
      <c r="W39" s="47">
        <f>Dados!Z40</f>
        <v>0</v>
      </c>
      <c r="X39" s="47">
        <f>Dados!AA40</f>
        <v>0</v>
      </c>
      <c r="Y39" s="47">
        <f>Dados!AB40</f>
        <v>0</v>
      </c>
      <c r="Z39" s="47">
        <f>Dados!AC40</f>
        <v>0</v>
      </c>
      <c r="AA39" s="47">
        <f>Dados!AD40</f>
        <v>0</v>
      </c>
      <c r="AB39" s="79">
        <f>Dados!AE40</f>
        <v>0</v>
      </c>
      <c r="AC39" s="48">
        <f t="shared" ref="AC39:AC49" si="0">SUM(B39:AB39)</f>
        <v>0</v>
      </c>
    </row>
    <row r="40" spans="1:29">
      <c r="A40" s="85">
        <f>Dados!D41</f>
        <v>45717</v>
      </c>
      <c r="B40" s="47">
        <f>Dados!E41</f>
        <v>0</v>
      </c>
      <c r="C40" s="47">
        <f>Dados!F41</f>
        <v>0</v>
      </c>
      <c r="D40" s="47">
        <f>Dados!G41</f>
        <v>0</v>
      </c>
      <c r="E40" s="47">
        <f>Dados!H41</f>
        <v>0</v>
      </c>
      <c r="F40" s="47">
        <f>Dados!I41</f>
        <v>0</v>
      </c>
      <c r="G40" s="47">
        <f>Dados!J41</f>
        <v>0</v>
      </c>
      <c r="H40" s="47">
        <f>Dados!K41</f>
        <v>0</v>
      </c>
      <c r="I40" s="47">
        <f>Dados!L41</f>
        <v>0</v>
      </c>
      <c r="J40" s="47">
        <f>Dados!M41</f>
        <v>0</v>
      </c>
      <c r="K40" s="47">
        <f>Dados!N41</f>
        <v>0</v>
      </c>
      <c r="L40" s="47">
        <f>Dados!O41</f>
        <v>0</v>
      </c>
      <c r="M40" s="47">
        <f>Dados!P41</f>
        <v>0</v>
      </c>
      <c r="N40" s="47">
        <f>Dados!Q41</f>
        <v>0</v>
      </c>
      <c r="O40" s="47">
        <f>Dados!R41</f>
        <v>0</v>
      </c>
      <c r="P40" s="47">
        <f>Dados!S41</f>
        <v>0</v>
      </c>
      <c r="Q40" s="47">
        <f>Dados!T41</f>
        <v>0</v>
      </c>
      <c r="R40" s="47">
        <f>Dados!U41</f>
        <v>0</v>
      </c>
      <c r="S40" s="47">
        <f>Dados!V41</f>
        <v>0</v>
      </c>
      <c r="T40" s="47">
        <f>Dados!W41</f>
        <v>0</v>
      </c>
      <c r="U40" s="47">
        <f>Dados!X41</f>
        <v>0</v>
      </c>
      <c r="V40" s="47">
        <f>Dados!Y41</f>
        <v>0</v>
      </c>
      <c r="W40" s="47">
        <f>Dados!Z41</f>
        <v>0</v>
      </c>
      <c r="X40" s="47">
        <f>Dados!AA41</f>
        <v>0</v>
      </c>
      <c r="Y40" s="47">
        <f>Dados!AB41</f>
        <v>0</v>
      </c>
      <c r="Z40" s="47">
        <f>Dados!AC41</f>
        <v>0</v>
      </c>
      <c r="AA40" s="47">
        <f>Dados!AD41</f>
        <v>0</v>
      </c>
      <c r="AB40" s="79">
        <f>Dados!AE41</f>
        <v>0</v>
      </c>
      <c r="AC40" s="48">
        <f t="shared" si="0"/>
        <v>0</v>
      </c>
    </row>
    <row r="41" spans="1:29">
      <c r="A41" s="85">
        <f>Dados!D42</f>
        <v>45748</v>
      </c>
      <c r="B41" s="47">
        <f>Dados!E42</f>
        <v>0</v>
      </c>
      <c r="C41" s="47">
        <f>Dados!F42</f>
        <v>0</v>
      </c>
      <c r="D41" s="47">
        <f>Dados!G42</f>
        <v>0</v>
      </c>
      <c r="E41" s="47">
        <f>Dados!H42</f>
        <v>0</v>
      </c>
      <c r="F41" s="47">
        <f>Dados!I42</f>
        <v>0</v>
      </c>
      <c r="G41" s="47">
        <f>Dados!J42</f>
        <v>0</v>
      </c>
      <c r="H41" s="47">
        <f>Dados!K42</f>
        <v>0</v>
      </c>
      <c r="I41" s="47">
        <f>Dados!L42</f>
        <v>0</v>
      </c>
      <c r="J41" s="47">
        <f>Dados!M42</f>
        <v>0</v>
      </c>
      <c r="K41" s="47">
        <f>Dados!N42</f>
        <v>0</v>
      </c>
      <c r="L41" s="47">
        <f>Dados!O42</f>
        <v>0</v>
      </c>
      <c r="M41" s="47">
        <f>Dados!P42</f>
        <v>0</v>
      </c>
      <c r="N41" s="47">
        <f>Dados!Q42</f>
        <v>0</v>
      </c>
      <c r="O41" s="47">
        <f>Dados!R42</f>
        <v>0</v>
      </c>
      <c r="P41" s="47">
        <f>Dados!S42</f>
        <v>0</v>
      </c>
      <c r="Q41" s="47">
        <f>Dados!T42</f>
        <v>0</v>
      </c>
      <c r="R41" s="47">
        <f>Dados!U42</f>
        <v>0</v>
      </c>
      <c r="S41" s="47">
        <f>Dados!V42</f>
        <v>0</v>
      </c>
      <c r="T41" s="47">
        <f>Dados!W42</f>
        <v>0</v>
      </c>
      <c r="U41" s="47">
        <f>Dados!X42</f>
        <v>0</v>
      </c>
      <c r="V41" s="47">
        <f>Dados!Y42</f>
        <v>0</v>
      </c>
      <c r="W41" s="47">
        <f>Dados!Z42</f>
        <v>0</v>
      </c>
      <c r="X41" s="47">
        <f>Dados!AA42</f>
        <v>0</v>
      </c>
      <c r="Y41" s="47">
        <f>Dados!AB42</f>
        <v>0</v>
      </c>
      <c r="Z41" s="47">
        <f>Dados!AC42</f>
        <v>0</v>
      </c>
      <c r="AA41" s="47">
        <f>Dados!AD42</f>
        <v>0</v>
      </c>
      <c r="AB41" s="79">
        <f>Dados!AE42</f>
        <v>0</v>
      </c>
      <c r="AC41" s="48">
        <f t="shared" si="0"/>
        <v>0</v>
      </c>
    </row>
    <row r="42" spans="1:29">
      <c r="A42" s="85">
        <f>Dados!D43</f>
        <v>45778</v>
      </c>
      <c r="B42" s="47">
        <f>Dados!E43</f>
        <v>0</v>
      </c>
      <c r="C42" s="47">
        <f>Dados!F43</f>
        <v>0</v>
      </c>
      <c r="D42" s="47">
        <f>Dados!G43</f>
        <v>0</v>
      </c>
      <c r="E42" s="47">
        <f>Dados!H43</f>
        <v>0</v>
      </c>
      <c r="F42" s="47">
        <f>Dados!I43</f>
        <v>0</v>
      </c>
      <c r="G42" s="47">
        <f>Dados!J43</f>
        <v>0</v>
      </c>
      <c r="H42" s="47">
        <f>Dados!K43</f>
        <v>0</v>
      </c>
      <c r="I42" s="47">
        <f>Dados!L43</f>
        <v>0</v>
      </c>
      <c r="J42" s="47">
        <f>Dados!M43</f>
        <v>0</v>
      </c>
      <c r="K42" s="47">
        <f>Dados!N43</f>
        <v>0</v>
      </c>
      <c r="L42" s="47">
        <f>Dados!O43</f>
        <v>0</v>
      </c>
      <c r="M42" s="47">
        <f>Dados!P43</f>
        <v>0</v>
      </c>
      <c r="N42" s="47">
        <f>Dados!Q43</f>
        <v>0</v>
      </c>
      <c r="O42" s="47">
        <f>Dados!R43</f>
        <v>0</v>
      </c>
      <c r="P42" s="47">
        <f>Dados!S43</f>
        <v>0</v>
      </c>
      <c r="Q42" s="47">
        <f>Dados!T43</f>
        <v>0</v>
      </c>
      <c r="R42" s="47">
        <f>Dados!U43</f>
        <v>0</v>
      </c>
      <c r="S42" s="47">
        <f>Dados!V43</f>
        <v>0</v>
      </c>
      <c r="T42" s="47">
        <f>Dados!W43</f>
        <v>0</v>
      </c>
      <c r="U42" s="47">
        <f>Dados!X43</f>
        <v>0</v>
      </c>
      <c r="V42" s="47">
        <f>Dados!Y43</f>
        <v>0</v>
      </c>
      <c r="W42" s="47">
        <f>Dados!Z43</f>
        <v>0</v>
      </c>
      <c r="X42" s="47">
        <f>Dados!AA43</f>
        <v>0</v>
      </c>
      <c r="Y42" s="47">
        <f>Dados!AB43</f>
        <v>0</v>
      </c>
      <c r="Z42" s="47">
        <f>Dados!AC43</f>
        <v>0</v>
      </c>
      <c r="AA42" s="47">
        <f>Dados!AD43</f>
        <v>0</v>
      </c>
      <c r="AB42" s="79">
        <f>Dados!AE43</f>
        <v>0</v>
      </c>
      <c r="AC42" s="48">
        <f t="shared" si="0"/>
        <v>0</v>
      </c>
    </row>
    <row r="43" spans="1:29">
      <c r="A43" s="85">
        <f>Dados!D44</f>
        <v>45809</v>
      </c>
      <c r="B43" s="47">
        <f>Dados!E44</f>
        <v>0</v>
      </c>
      <c r="C43" s="47">
        <f>Dados!F44</f>
        <v>0</v>
      </c>
      <c r="D43" s="47">
        <f>Dados!G44</f>
        <v>0</v>
      </c>
      <c r="E43" s="47">
        <f>Dados!H44</f>
        <v>0</v>
      </c>
      <c r="F43" s="47">
        <f>Dados!I44</f>
        <v>0</v>
      </c>
      <c r="G43" s="47">
        <f>Dados!J44</f>
        <v>0</v>
      </c>
      <c r="H43" s="47">
        <f>Dados!K44</f>
        <v>0</v>
      </c>
      <c r="I43" s="47">
        <f>Dados!L44</f>
        <v>0</v>
      </c>
      <c r="J43" s="47">
        <f>Dados!M44</f>
        <v>0</v>
      </c>
      <c r="K43" s="47">
        <f>Dados!N44</f>
        <v>0</v>
      </c>
      <c r="L43" s="47">
        <f>Dados!O44</f>
        <v>0</v>
      </c>
      <c r="M43" s="47">
        <f>Dados!P44</f>
        <v>0</v>
      </c>
      <c r="N43" s="47">
        <f>Dados!Q44</f>
        <v>0</v>
      </c>
      <c r="O43" s="47">
        <f>Dados!R44</f>
        <v>0</v>
      </c>
      <c r="P43" s="47">
        <f>Dados!S44</f>
        <v>0</v>
      </c>
      <c r="Q43" s="47">
        <f>Dados!T44</f>
        <v>0</v>
      </c>
      <c r="R43" s="47">
        <f>Dados!U44</f>
        <v>0</v>
      </c>
      <c r="S43" s="47">
        <f>Dados!V44</f>
        <v>0</v>
      </c>
      <c r="T43" s="47">
        <f>Dados!W44</f>
        <v>0</v>
      </c>
      <c r="U43" s="47">
        <f>Dados!X44</f>
        <v>0</v>
      </c>
      <c r="V43" s="47">
        <f>Dados!Y44</f>
        <v>0</v>
      </c>
      <c r="W43" s="47">
        <f>Dados!Z44</f>
        <v>0</v>
      </c>
      <c r="X43" s="47">
        <f>Dados!AA44</f>
        <v>0</v>
      </c>
      <c r="Y43" s="47">
        <f>Dados!AB44</f>
        <v>0</v>
      </c>
      <c r="Z43" s="47">
        <f>Dados!AC44</f>
        <v>0</v>
      </c>
      <c r="AA43" s="47">
        <f>Dados!AD44</f>
        <v>0</v>
      </c>
      <c r="AB43" s="79">
        <f>Dados!AE44</f>
        <v>0</v>
      </c>
      <c r="AC43" s="48">
        <f t="shared" si="0"/>
        <v>0</v>
      </c>
    </row>
    <row r="44" spans="1:29">
      <c r="A44" s="85">
        <f>Dados!D45</f>
        <v>45839</v>
      </c>
      <c r="B44" s="47">
        <f>Dados!E45</f>
        <v>0</v>
      </c>
      <c r="C44" s="47">
        <f>Dados!F45</f>
        <v>0</v>
      </c>
      <c r="D44" s="47">
        <f>Dados!G45</f>
        <v>0</v>
      </c>
      <c r="E44" s="47">
        <f>Dados!H45</f>
        <v>0</v>
      </c>
      <c r="F44" s="47">
        <f>Dados!I45</f>
        <v>0</v>
      </c>
      <c r="G44" s="47">
        <f>Dados!J45</f>
        <v>0</v>
      </c>
      <c r="H44" s="47">
        <f>Dados!K45</f>
        <v>0</v>
      </c>
      <c r="I44" s="47">
        <f>Dados!L45</f>
        <v>0</v>
      </c>
      <c r="J44" s="47">
        <f>Dados!M45</f>
        <v>0</v>
      </c>
      <c r="K44" s="47">
        <f>Dados!N45</f>
        <v>0</v>
      </c>
      <c r="L44" s="47">
        <f>Dados!O45</f>
        <v>0</v>
      </c>
      <c r="M44" s="47">
        <f>Dados!P45</f>
        <v>0</v>
      </c>
      <c r="N44" s="47">
        <f>Dados!Q45</f>
        <v>0</v>
      </c>
      <c r="O44" s="47">
        <f>Dados!R45</f>
        <v>0</v>
      </c>
      <c r="P44" s="47">
        <f>Dados!S45</f>
        <v>0</v>
      </c>
      <c r="Q44" s="47">
        <f>Dados!T45</f>
        <v>0</v>
      </c>
      <c r="R44" s="47">
        <f>Dados!U45</f>
        <v>0</v>
      </c>
      <c r="S44" s="47">
        <f>Dados!V45</f>
        <v>0</v>
      </c>
      <c r="T44" s="47">
        <f>Dados!W45</f>
        <v>0</v>
      </c>
      <c r="U44" s="47">
        <f>Dados!X45</f>
        <v>0</v>
      </c>
      <c r="V44" s="47">
        <f>Dados!Y45</f>
        <v>0</v>
      </c>
      <c r="W44" s="47">
        <f>Dados!Z45</f>
        <v>0</v>
      </c>
      <c r="X44" s="47">
        <f>Dados!AA45</f>
        <v>0</v>
      </c>
      <c r="Y44" s="47">
        <f>Dados!AB45</f>
        <v>0</v>
      </c>
      <c r="Z44" s="47">
        <f>Dados!AC45</f>
        <v>0</v>
      </c>
      <c r="AA44" s="47">
        <f>Dados!AD45</f>
        <v>0</v>
      </c>
      <c r="AB44" s="79">
        <f>Dados!AE45</f>
        <v>0</v>
      </c>
      <c r="AC44" s="48">
        <f t="shared" si="0"/>
        <v>0</v>
      </c>
    </row>
    <row r="45" spans="1:29">
      <c r="A45" s="85">
        <f>Dados!D46</f>
        <v>45870</v>
      </c>
      <c r="B45" s="47">
        <f>Dados!E46</f>
        <v>0</v>
      </c>
      <c r="C45" s="47">
        <f>Dados!F46</f>
        <v>0</v>
      </c>
      <c r="D45" s="47">
        <f>Dados!G46</f>
        <v>0</v>
      </c>
      <c r="E45" s="47">
        <f>Dados!H46</f>
        <v>0</v>
      </c>
      <c r="F45" s="47">
        <f>Dados!I46</f>
        <v>0</v>
      </c>
      <c r="G45" s="47">
        <f>Dados!J46</f>
        <v>0</v>
      </c>
      <c r="H45" s="47">
        <f>Dados!K46</f>
        <v>0</v>
      </c>
      <c r="I45" s="47">
        <f>Dados!L46</f>
        <v>0</v>
      </c>
      <c r="J45" s="47">
        <f>Dados!M46</f>
        <v>0</v>
      </c>
      <c r="K45" s="47">
        <f>Dados!N46</f>
        <v>0</v>
      </c>
      <c r="L45" s="47">
        <f>Dados!O46</f>
        <v>0</v>
      </c>
      <c r="M45" s="47">
        <f>Dados!P46</f>
        <v>0</v>
      </c>
      <c r="N45" s="47">
        <f>Dados!Q46</f>
        <v>0</v>
      </c>
      <c r="O45" s="47">
        <f>Dados!R46</f>
        <v>0</v>
      </c>
      <c r="P45" s="47">
        <f>Dados!S46</f>
        <v>0</v>
      </c>
      <c r="Q45" s="47">
        <f>Dados!T46</f>
        <v>0</v>
      </c>
      <c r="R45" s="47">
        <f>Dados!U46</f>
        <v>0</v>
      </c>
      <c r="S45" s="47">
        <f>Dados!V46</f>
        <v>0</v>
      </c>
      <c r="T45" s="47">
        <f>Dados!W46</f>
        <v>0</v>
      </c>
      <c r="U45" s="47">
        <f>Dados!X46</f>
        <v>0</v>
      </c>
      <c r="V45" s="47">
        <f>Dados!Y46</f>
        <v>0</v>
      </c>
      <c r="W45" s="47">
        <f>Dados!Z46</f>
        <v>0</v>
      </c>
      <c r="X45" s="47">
        <f>Dados!AA46</f>
        <v>0</v>
      </c>
      <c r="Y45" s="47">
        <f>Dados!AB46</f>
        <v>0</v>
      </c>
      <c r="Z45" s="47">
        <f>Dados!AC46</f>
        <v>0</v>
      </c>
      <c r="AA45" s="47">
        <f>Dados!AD46</f>
        <v>0</v>
      </c>
      <c r="AB45" s="79">
        <f>Dados!AE46</f>
        <v>0</v>
      </c>
      <c r="AC45" s="48">
        <f t="shared" si="0"/>
        <v>0</v>
      </c>
    </row>
    <row r="46" spans="1:29">
      <c r="A46" s="85">
        <f>Dados!D47</f>
        <v>45901</v>
      </c>
      <c r="B46" s="47">
        <f>Dados!E47</f>
        <v>0</v>
      </c>
      <c r="C46" s="47">
        <f>Dados!F47</f>
        <v>0</v>
      </c>
      <c r="D46" s="47">
        <f>Dados!G47</f>
        <v>0</v>
      </c>
      <c r="E46" s="47">
        <f>Dados!H47</f>
        <v>0</v>
      </c>
      <c r="F46" s="47">
        <f>Dados!I47</f>
        <v>0</v>
      </c>
      <c r="G46" s="47">
        <f>Dados!J47</f>
        <v>0</v>
      </c>
      <c r="H46" s="47">
        <f>Dados!K47</f>
        <v>0</v>
      </c>
      <c r="I46" s="47">
        <f>Dados!L47</f>
        <v>0</v>
      </c>
      <c r="J46" s="47">
        <f>Dados!M47</f>
        <v>0</v>
      </c>
      <c r="K46" s="47">
        <f>Dados!N47</f>
        <v>0</v>
      </c>
      <c r="L46" s="47">
        <f>Dados!O47</f>
        <v>0</v>
      </c>
      <c r="M46" s="47">
        <f>Dados!P47</f>
        <v>0</v>
      </c>
      <c r="N46" s="47">
        <f>Dados!Q47</f>
        <v>0</v>
      </c>
      <c r="O46" s="47">
        <f>Dados!R47</f>
        <v>0</v>
      </c>
      <c r="P46" s="47">
        <f>Dados!S47</f>
        <v>0</v>
      </c>
      <c r="Q46" s="47">
        <f>Dados!T47</f>
        <v>0</v>
      </c>
      <c r="R46" s="47">
        <f>Dados!U47</f>
        <v>0</v>
      </c>
      <c r="S46" s="47">
        <f>Dados!V47</f>
        <v>0</v>
      </c>
      <c r="T46" s="47">
        <f>Dados!W47</f>
        <v>0</v>
      </c>
      <c r="U46" s="47">
        <f>Dados!X47</f>
        <v>0</v>
      </c>
      <c r="V46" s="47">
        <f>Dados!Y47</f>
        <v>0</v>
      </c>
      <c r="W46" s="47">
        <f>Dados!Z47</f>
        <v>0</v>
      </c>
      <c r="X46" s="47">
        <f>Dados!AA47</f>
        <v>0</v>
      </c>
      <c r="Y46" s="47">
        <f>Dados!AB47</f>
        <v>0</v>
      </c>
      <c r="Z46" s="47">
        <f>Dados!AC47</f>
        <v>0</v>
      </c>
      <c r="AA46" s="47">
        <f>Dados!AD47</f>
        <v>0</v>
      </c>
      <c r="AB46" s="79">
        <f>Dados!AE47</f>
        <v>0</v>
      </c>
      <c r="AC46" s="48">
        <f t="shared" si="0"/>
        <v>0</v>
      </c>
    </row>
    <row r="47" spans="1:29">
      <c r="A47" s="85">
        <f>Dados!D48</f>
        <v>45931</v>
      </c>
      <c r="B47" s="47">
        <f>Dados!E48</f>
        <v>0</v>
      </c>
      <c r="C47" s="47">
        <f>Dados!F48</f>
        <v>0</v>
      </c>
      <c r="D47" s="47">
        <f>Dados!G48</f>
        <v>0</v>
      </c>
      <c r="E47" s="47">
        <f>Dados!H48</f>
        <v>0</v>
      </c>
      <c r="F47" s="47">
        <f>Dados!I48</f>
        <v>0</v>
      </c>
      <c r="G47" s="47">
        <f>Dados!J48</f>
        <v>0</v>
      </c>
      <c r="H47" s="47">
        <f>Dados!K48</f>
        <v>0</v>
      </c>
      <c r="I47" s="47">
        <f>Dados!L48</f>
        <v>0</v>
      </c>
      <c r="J47" s="47">
        <f>Dados!M48</f>
        <v>0</v>
      </c>
      <c r="K47" s="47">
        <f>Dados!N48</f>
        <v>0</v>
      </c>
      <c r="L47" s="47">
        <f>Dados!O48</f>
        <v>0</v>
      </c>
      <c r="M47" s="47">
        <f>Dados!P48</f>
        <v>0</v>
      </c>
      <c r="N47" s="47">
        <f>Dados!Q48</f>
        <v>0</v>
      </c>
      <c r="O47" s="47">
        <f>Dados!R48</f>
        <v>0</v>
      </c>
      <c r="P47" s="47">
        <f>Dados!S48</f>
        <v>0</v>
      </c>
      <c r="Q47" s="47">
        <f>Dados!T48</f>
        <v>0</v>
      </c>
      <c r="R47" s="47">
        <f>Dados!U48</f>
        <v>0</v>
      </c>
      <c r="S47" s="47">
        <f>Dados!V48</f>
        <v>0</v>
      </c>
      <c r="T47" s="47">
        <f>Dados!W48</f>
        <v>0</v>
      </c>
      <c r="U47" s="47">
        <f>Dados!X48</f>
        <v>0</v>
      </c>
      <c r="V47" s="47">
        <f>Dados!Y48</f>
        <v>0</v>
      </c>
      <c r="W47" s="47">
        <f>Dados!Z48</f>
        <v>0</v>
      </c>
      <c r="X47" s="47">
        <f>Dados!AA48</f>
        <v>0</v>
      </c>
      <c r="Y47" s="47">
        <f>Dados!AB48</f>
        <v>0</v>
      </c>
      <c r="Z47" s="47">
        <f>Dados!AC48</f>
        <v>0</v>
      </c>
      <c r="AA47" s="47">
        <f>Dados!AD48</f>
        <v>0</v>
      </c>
      <c r="AB47" s="79">
        <f>Dados!AE48</f>
        <v>0</v>
      </c>
      <c r="AC47" s="48">
        <f t="shared" si="0"/>
        <v>0</v>
      </c>
    </row>
    <row r="48" spans="1:29">
      <c r="A48" s="85">
        <f>Dados!D49</f>
        <v>45962</v>
      </c>
      <c r="B48" s="47">
        <f>Dados!E49</f>
        <v>0</v>
      </c>
      <c r="C48" s="47">
        <f>Dados!F49</f>
        <v>0</v>
      </c>
      <c r="D48" s="47">
        <f>Dados!G49</f>
        <v>0</v>
      </c>
      <c r="E48" s="47">
        <f>Dados!H49</f>
        <v>0</v>
      </c>
      <c r="F48" s="47">
        <f>Dados!I49</f>
        <v>0</v>
      </c>
      <c r="G48" s="47">
        <f>Dados!J49</f>
        <v>0</v>
      </c>
      <c r="H48" s="47">
        <f>Dados!K49</f>
        <v>0</v>
      </c>
      <c r="I48" s="47">
        <f>Dados!L49</f>
        <v>0</v>
      </c>
      <c r="J48" s="47">
        <f>Dados!M49</f>
        <v>0</v>
      </c>
      <c r="K48" s="47">
        <f>Dados!N49</f>
        <v>0</v>
      </c>
      <c r="L48" s="47">
        <f>Dados!O49</f>
        <v>0</v>
      </c>
      <c r="M48" s="47">
        <f>Dados!P49</f>
        <v>0</v>
      </c>
      <c r="N48" s="47">
        <f>Dados!Q49</f>
        <v>0</v>
      </c>
      <c r="O48" s="47">
        <f>Dados!R49</f>
        <v>0</v>
      </c>
      <c r="P48" s="47">
        <f>Dados!S49</f>
        <v>0</v>
      </c>
      <c r="Q48" s="47">
        <f>Dados!T49</f>
        <v>0</v>
      </c>
      <c r="R48" s="47">
        <f>Dados!U49</f>
        <v>0</v>
      </c>
      <c r="S48" s="47">
        <f>Dados!V49</f>
        <v>0</v>
      </c>
      <c r="T48" s="47">
        <f>Dados!W49</f>
        <v>0</v>
      </c>
      <c r="U48" s="47">
        <f>Dados!X49</f>
        <v>0</v>
      </c>
      <c r="V48" s="47">
        <f>Dados!Y49</f>
        <v>0</v>
      </c>
      <c r="W48" s="47">
        <f>Dados!Z49</f>
        <v>0</v>
      </c>
      <c r="X48" s="47">
        <f>Dados!AA49</f>
        <v>0</v>
      </c>
      <c r="Y48" s="47">
        <f>Dados!AB49</f>
        <v>0</v>
      </c>
      <c r="Z48" s="47">
        <f>Dados!AC49</f>
        <v>0</v>
      </c>
      <c r="AA48" s="47">
        <f>Dados!AD49</f>
        <v>0</v>
      </c>
      <c r="AB48" s="79">
        <f>Dados!AE49</f>
        <v>0</v>
      </c>
      <c r="AC48" s="48">
        <f t="shared" si="0"/>
        <v>0</v>
      </c>
    </row>
    <row r="49" spans="1:29">
      <c r="A49" s="86">
        <f>Dados!D50</f>
        <v>45992</v>
      </c>
      <c r="B49" s="80">
        <f>Dados!E50</f>
        <v>0</v>
      </c>
      <c r="C49" s="80">
        <f>Dados!F50</f>
        <v>0</v>
      </c>
      <c r="D49" s="80">
        <f>Dados!G50</f>
        <v>0</v>
      </c>
      <c r="E49" s="80">
        <f>Dados!H50</f>
        <v>0</v>
      </c>
      <c r="F49" s="80">
        <f>Dados!I50</f>
        <v>0</v>
      </c>
      <c r="G49" s="80">
        <f>Dados!J50</f>
        <v>0</v>
      </c>
      <c r="H49" s="80">
        <f>Dados!K50</f>
        <v>0</v>
      </c>
      <c r="I49" s="80">
        <f>Dados!L50</f>
        <v>0</v>
      </c>
      <c r="J49" s="80">
        <f>Dados!M50</f>
        <v>0</v>
      </c>
      <c r="K49" s="80">
        <f>Dados!N50</f>
        <v>0</v>
      </c>
      <c r="L49" s="80">
        <f>Dados!O50</f>
        <v>0</v>
      </c>
      <c r="M49" s="80">
        <f>Dados!P50</f>
        <v>0</v>
      </c>
      <c r="N49" s="80">
        <f>Dados!Q50</f>
        <v>0</v>
      </c>
      <c r="O49" s="80">
        <f>Dados!R50</f>
        <v>0</v>
      </c>
      <c r="P49" s="80">
        <f>Dados!S50</f>
        <v>0</v>
      </c>
      <c r="Q49" s="80">
        <f>Dados!T50</f>
        <v>0</v>
      </c>
      <c r="R49" s="80">
        <f>Dados!U50</f>
        <v>0</v>
      </c>
      <c r="S49" s="80">
        <f>Dados!V50</f>
        <v>0</v>
      </c>
      <c r="T49" s="80">
        <f>Dados!W50</f>
        <v>0</v>
      </c>
      <c r="U49" s="80">
        <f>Dados!X50</f>
        <v>0</v>
      </c>
      <c r="V49" s="80">
        <f>Dados!Y50</f>
        <v>0</v>
      </c>
      <c r="W49" s="80">
        <f>Dados!Z50</f>
        <v>0</v>
      </c>
      <c r="X49" s="80">
        <f>Dados!AA50</f>
        <v>0</v>
      </c>
      <c r="Y49" s="80">
        <f>Dados!AB50</f>
        <v>0</v>
      </c>
      <c r="Z49" s="80">
        <f>Dados!AC50</f>
        <v>0</v>
      </c>
      <c r="AA49" s="80">
        <f>Dados!AD50</f>
        <v>0</v>
      </c>
      <c r="AB49" s="81">
        <f>Dados!AE50</f>
        <v>0</v>
      </c>
      <c r="AC49" s="48">
        <f t="shared" si="0"/>
        <v>0</v>
      </c>
    </row>
    <row r="50" spans="1:29" ht="15.75">
      <c r="A50" s="60" t="s">
        <v>82</v>
      </c>
      <c r="B50" s="61">
        <f>SUM(B38:B43)</f>
        <v>0</v>
      </c>
      <c r="C50" s="61">
        <f t="shared" ref="C50:AB50" si="1">SUM(C38:C43)</f>
        <v>0</v>
      </c>
      <c r="D50" s="61">
        <f t="shared" si="1"/>
        <v>0</v>
      </c>
      <c r="E50" s="61">
        <f t="shared" si="1"/>
        <v>0</v>
      </c>
      <c r="F50" s="61">
        <f t="shared" si="1"/>
        <v>0</v>
      </c>
      <c r="G50" s="61">
        <f t="shared" si="1"/>
        <v>0</v>
      </c>
      <c r="H50" s="61">
        <f t="shared" si="1"/>
        <v>0</v>
      </c>
      <c r="I50" s="61">
        <f t="shared" si="1"/>
        <v>0</v>
      </c>
      <c r="J50" s="61">
        <f t="shared" si="1"/>
        <v>0</v>
      </c>
      <c r="K50" s="61">
        <f t="shared" si="1"/>
        <v>0</v>
      </c>
      <c r="L50" s="61">
        <f t="shared" si="1"/>
        <v>0</v>
      </c>
      <c r="M50" s="61">
        <f t="shared" si="1"/>
        <v>0</v>
      </c>
      <c r="N50" s="61">
        <f t="shared" si="1"/>
        <v>0</v>
      </c>
      <c r="O50" s="61">
        <f t="shared" si="1"/>
        <v>0</v>
      </c>
      <c r="P50" s="61">
        <f t="shared" si="1"/>
        <v>0</v>
      </c>
      <c r="Q50" s="61">
        <f t="shared" si="1"/>
        <v>0</v>
      </c>
      <c r="R50" s="61">
        <f t="shared" si="1"/>
        <v>0</v>
      </c>
      <c r="S50" s="61">
        <f t="shared" si="1"/>
        <v>0</v>
      </c>
      <c r="T50" s="61">
        <f t="shared" si="1"/>
        <v>0</v>
      </c>
      <c r="U50" s="61">
        <f t="shared" si="1"/>
        <v>0</v>
      </c>
      <c r="V50" s="61">
        <f t="shared" si="1"/>
        <v>0</v>
      </c>
      <c r="W50" s="61">
        <f t="shared" si="1"/>
        <v>0</v>
      </c>
      <c r="X50" s="61">
        <f t="shared" si="1"/>
        <v>0</v>
      </c>
      <c r="Y50" s="61">
        <f t="shared" si="1"/>
        <v>0</v>
      </c>
      <c r="Z50" s="61">
        <f t="shared" si="1"/>
        <v>0</v>
      </c>
      <c r="AA50" s="61">
        <f t="shared" si="1"/>
        <v>0</v>
      </c>
      <c r="AB50" s="61">
        <f t="shared" si="1"/>
        <v>0</v>
      </c>
      <c r="AC50" s="63">
        <f>SUM(B50:AB50)</f>
        <v>0</v>
      </c>
    </row>
    <row r="51" spans="1:29" ht="15.75">
      <c r="A51" s="60" t="s">
        <v>83</v>
      </c>
      <c r="B51" s="61">
        <f>SUM(B44:B49)</f>
        <v>0</v>
      </c>
      <c r="C51" s="61">
        <f t="shared" ref="C51:AB51" si="2">SUM(C44:C49)</f>
        <v>0</v>
      </c>
      <c r="D51" s="61">
        <f t="shared" si="2"/>
        <v>0</v>
      </c>
      <c r="E51" s="61">
        <f t="shared" si="2"/>
        <v>0</v>
      </c>
      <c r="F51" s="61">
        <f t="shared" si="2"/>
        <v>0</v>
      </c>
      <c r="G51" s="61">
        <f t="shared" si="2"/>
        <v>0</v>
      </c>
      <c r="H51" s="61">
        <f t="shared" si="2"/>
        <v>0</v>
      </c>
      <c r="I51" s="61">
        <f t="shared" si="2"/>
        <v>0</v>
      </c>
      <c r="J51" s="61">
        <f t="shared" si="2"/>
        <v>0</v>
      </c>
      <c r="K51" s="61">
        <f t="shared" si="2"/>
        <v>0</v>
      </c>
      <c r="L51" s="61">
        <f t="shared" si="2"/>
        <v>0</v>
      </c>
      <c r="M51" s="61">
        <f t="shared" si="2"/>
        <v>0</v>
      </c>
      <c r="N51" s="61">
        <f t="shared" si="2"/>
        <v>0</v>
      </c>
      <c r="O51" s="61">
        <f t="shared" si="2"/>
        <v>0</v>
      </c>
      <c r="P51" s="61">
        <f t="shared" si="2"/>
        <v>0</v>
      </c>
      <c r="Q51" s="61">
        <f t="shared" si="2"/>
        <v>0</v>
      </c>
      <c r="R51" s="61">
        <f t="shared" si="2"/>
        <v>0</v>
      </c>
      <c r="S51" s="61">
        <f t="shared" si="2"/>
        <v>0</v>
      </c>
      <c r="T51" s="61">
        <f t="shared" si="2"/>
        <v>0</v>
      </c>
      <c r="U51" s="61">
        <f t="shared" si="2"/>
        <v>0</v>
      </c>
      <c r="V51" s="61">
        <f t="shared" si="2"/>
        <v>0</v>
      </c>
      <c r="W51" s="61">
        <f t="shared" si="2"/>
        <v>0</v>
      </c>
      <c r="X51" s="61">
        <f t="shared" si="2"/>
        <v>0</v>
      </c>
      <c r="Y51" s="61">
        <f t="shared" si="2"/>
        <v>0</v>
      </c>
      <c r="Z51" s="61">
        <f t="shared" si="2"/>
        <v>0</v>
      </c>
      <c r="AA51" s="61">
        <f t="shared" si="2"/>
        <v>0</v>
      </c>
      <c r="AB51" s="61">
        <f t="shared" si="2"/>
        <v>0</v>
      </c>
      <c r="AC51" s="63">
        <f>SUM(B51:AB51)</f>
        <v>0</v>
      </c>
    </row>
    <row r="52" spans="1:29" ht="15.75">
      <c r="A52" s="62" t="s">
        <v>84</v>
      </c>
      <c r="B52" s="61">
        <f>SUM(B50:B51)</f>
        <v>0</v>
      </c>
      <c r="C52" s="61">
        <f t="shared" ref="C52:AB52" si="3">SUM(C50:C51)</f>
        <v>0</v>
      </c>
      <c r="D52" s="61">
        <f t="shared" si="3"/>
        <v>0</v>
      </c>
      <c r="E52" s="61">
        <f t="shared" si="3"/>
        <v>0</v>
      </c>
      <c r="F52" s="61">
        <f t="shared" si="3"/>
        <v>0</v>
      </c>
      <c r="G52" s="61">
        <f t="shared" si="3"/>
        <v>0</v>
      </c>
      <c r="H52" s="61">
        <f t="shared" si="3"/>
        <v>0</v>
      </c>
      <c r="I52" s="61">
        <f t="shared" si="3"/>
        <v>0</v>
      </c>
      <c r="J52" s="61">
        <f t="shared" si="3"/>
        <v>0</v>
      </c>
      <c r="K52" s="61">
        <f t="shared" si="3"/>
        <v>0</v>
      </c>
      <c r="L52" s="61">
        <f t="shared" si="3"/>
        <v>0</v>
      </c>
      <c r="M52" s="61">
        <f t="shared" si="3"/>
        <v>0</v>
      </c>
      <c r="N52" s="61">
        <f t="shared" si="3"/>
        <v>0</v>
      </c>
      <c r="O52" s="61">
        <f t="shared" si="3"/>
        <v>0</v>
      </c>
      <c r="P52" s="61">
        <f t="shared" si="3"/>
        <v>0</v>
      </c>
      <c r="Q52" s="61">
        <f t="shared" si="3"/>
        <v>0</v>
      </c>
      <c r="R52" s="61">
        <f t="shared" si="3"/>
        <v>0</v>
      </c>
      <c r="S52" s="61">
        <f t="shared" si="3"/>
        <v>0</v>
      </c>
      <c r="T52" s="61">
        <f t="shared" si="3"/>
        <v>0</v>
      </c>
      <c r="U52" s="61">
        <f t="shared" si="3"/>
        <v>0</v>
      </c>
      <c r="V52" s="61">
        <f t="shared" si="3"/>
        <v>0</v>
      </c>
      <c r="W52" s="61">
        <f t="shared" si="3"/>
        <v>0</v>
      </c>
      <c r="X52" s="61">
        <f t="shared" si="3"/>
        <v>0</v>
      </c>
      <c r="Y52" s="61">
        <f t="shared" si="3"/>
        <v>0</v>
      </c>
      <c r="Z52" s="61">
        <f t="shared" si="3"/>
        <v>0</v>
      </c>
      <c r="AA52" s="61">
        <f t="shared" si="3"/>
        <v>0</v>
      </c>
      <c r="AB52" s="61">
        <f t="shared" si="3"/>
        <v>0</v>
      </c>
      <c r="AC52" s="53">
        <f>SUM(B52:AB52)</f>
        <v>0</v>
      </c>
    </row>
    <row r="53" spans="1:29"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</row>
    <row r="54" spans="1:29" ht="17.25" customHeight="1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</row>
    <row r="55" spans="1:29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</row>
    <row r="56" spans="1:29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</row>
    <row r="57" spans="1:29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</row>
    <row r="58" spans="1:29"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</row>
    <row r="59" spans="1:29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</row>
    <row r="60" spans="1:29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</row>
    <row r="61" spans="1:29"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</row>
    <row r="62" spans="1:29"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</row>
    <row r="63" spans="1:29"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</row>
    <row r="64" spans="1:29"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</row>
    <row r="65" spans="2:29"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</row>
    <row r="66" spans="2:29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</row>
    <row r="67" spans="2:29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</row>
    <row r="68" spans="2:29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</row>
    <row r="69" spans="2:29"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</row>
    <row r="70" spans="2:29"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</row>
    <row r="71" spans="2:29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</row>
    <row r="72" spans="2:29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</row>
    <row r="73" spans="2:29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</row>
    <row r="74" spans="2:29"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</row>
    <row r="75" spans="2:29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</row>
    <row r="76" spans="2:29"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</row>
    <row r="77" spans="2:29"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</row>
    <row r="78" spans="2:29"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</row>
    <row r="79" spans="2:29"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</row>
    <row r="80" spans="2:29"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</row>
    <row r="81" spans="2:29"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</row>
    <row r="82" spans="2:29"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</row>
    <row r="83" spans="2:29"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</row>
    <row r="84" spans="2:29"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</row>
    <row r="85" spans="2:29"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</row>
    <row r="86" spans="2:29"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</row>
    <row r="87" spans="2:29"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</row>
    <row r="88" spans="2:29"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</row>
    <row r="89" spans="2:29"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</row>
    <row r="90" spans="2:29"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</row>
    <row r="91" spans="2:29"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</row>
    <row r="92" spans="2:29"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</row>
    <row r="93" spans="2:29"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</row>
    <row r="94" spans="2:29"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</row>
    <row r="95" spans="2:29"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</row>
    <row r="96" spans="2:29"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</row>
    <row r="97" spans="2:29"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</row>
    <row r="98" spans="2:29"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</row>
    <row r="99" spans="2:29"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</row>
    <row r="100" spans="2:29"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</row>
    <row r="101" spans="2:29"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</row>
    <row r="102" spans="2:29"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</row>
    <row r="103" spans="2:29"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</row>
    <row r="104" spans="2:29"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</row>
    <row r="105" spans="2:29"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</row>
    <row r="106" spans="2:29"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</row>
    <row r="107" spans="2:29"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2:29"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</row>
    <row r="109" spans="2:29"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</row>
    <row r="110" spans="2:29"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</row>
    <row r="111" spans="2:29"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</row>
    <row r="112" spans="2:29"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</row>
    <row r="113" s="39" customFormat="1"/>
    <row r="114" s="39" customFormat="1"/>
    <row r="115" s="39" customFormat="1"/>
    <row r="116" s="39" customFormat="1"/>
    <row r="117" s="39" customFormat="1"/>
    <row r="118" s="39" customFormat="1"/>
    <row r="119" s="39" customFormat="1"/>
    <row r="120" s="39" customFormat="1"/>
    <row r="121" s="39" customFormat="1"/>
    <row r="122" s="39" customFormat="1"/>
    <row r="123" s="39" customFormat="1"/>
    <row r="124" s="39" customFormat="1"/>
    <row r="125" s="39" customFormat="1"/>
    <row r="126" s="39" customFormat="1"/>
    <row r="127" s="39" customFormat="1"/>
    <row r="128" s="39" customFormat="1"/>
    <row r="129" spans="1:107" s="39" customFormat="1"/>
    <row r="130" spans="1:107" s="39" customFormat="1"/>
    <row r="131" spans="1:107">
      <c r="A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 s="114" t="s">
        <v>9</v>
      </c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115" t="s">
        <v>81</v>
      </c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 s="94" t="str">
        <f>Tabela410[[#Headers],[ARLIZ]]</f>
        <v>ARLIZ</v>
      </c>
      <c r="B138" s="95"/>
      <c r="C138" s="95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95">
        <f>B134</f>
        <v>0</v>
      </c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 s="94" t="str">
        <f>Tabela410[[#Headers],[CAMOMIL ]]</f>
        <v xml:space="preserve">CAMOMIL </v>
      </c>
      <c r="B139" s="98">
        <f>C120</f>
        <v>0</v>
      </c>
      <c r="C139" s="98">
        <f>C121</f>
        <v>0</v>
      </c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8">
        <f>C134</f>
        <v>0</v>
      </c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 s="94" t="str">
        <f>Tabela410[[#Headers],[COMPANY]]</f>
        <v>COMPANY</v>
      </c>
      <c r="B140" s="95">
        <f>D120</f>
        <v>0</v>
      </c>
      <c r="C140" s="95">
        <f>D121</f>
        <v>0</v>
      </c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95">
        <f>D134</f>
        <v>0</v>
      </c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94" t="str">
        <f>Tabela410[[#Headers],[DALCOMADE]]</f>
        <v>DALCOMADE</v>
      </c>
      <c r="B141" s="98">
        <f>E120</f>
        <v>0</v>
      </c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8">
        <f>E134</f>
        <v>0</v>
      </c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94" t="str">
        <f>Tabela410[[#Headers],[EUCATEX]]</f>
        <v>EUCATEX</v>
      </c>
      <c r="B142" s="95">
        <f>F120</f>
        <v>0</v>
      </c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95">
        <f>F134</f>
        <v>0</v>
      </c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94" t="str">
        <f>Tabela410[[#Headers],[GN-MADEIRAS]]</f>
        <v>GN-MADEIRAS</v>
      </c>
      <c r="B143" s="98">
        <f>G120</f>
        <v>0</v>
      </c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8">
        <f>G134</f>
        <v>0</v>
      </c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94" t="str">
        <f>Tabela410[[#Headers],[IDEAL]]</f>
        <v>IDEAL</v>
      </c>
      <c r="B144" s="95">
        <f>H120</f>
        <v>0</v>
      </c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95">
        <f>H134</f>
        <v>0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94" t="str">
        <f>Tabela410[[#Headers],[IRMÃS NAVAS]]</f>
        <v>IRMÃS NAVAS</v>
      </c>
      <c r="B145" s="98">
        <f>I120</f>
        <v>0</v>
      </c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8">
        <f>I134</f>
        <v>0</v>
      </c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94" t="str">
        <f>Tabela410[[#Headers],[IMPEL]]</f>
        <v>IMPEL</v>
      </c>
      <c r="B146" s="95">
        <f>J120</f>
        <v>0</v>
      </c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95">
        <f>J134</f>
        <v>0</v>
      </c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94" t="str">
        <f>Tabela410[[#Headers],[RODEIO]]</f>
        <v>RODEIO</v>
      </c>
      <c r="B147" s="98">
        <f>K120</f>
        <v>0</v>
      </c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8">
        <f>K134</f>
        <v>0</v>
      </c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94" t="str">
        <f>Tabela410[[#Headers],[SUL PORTAS]]</f>
        <v>SUL PORTAS</v>
      </c>
      <c r="B148" s="95">
        <f>L120</f>
        <v>0</v>
      </c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95">
        <f>L134</f>
        <v>0</v>
      </c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94" t="str">
        <f>Tabela410[[#Headers],[MAD CASTOR]]</f>
        <v>MAD CASTOR</v>
      </c>
      <c r="B149" s="98">
        <f>M120</f>
        <v>0</v>
      </c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8">
        <f>M134</f>
        <v>0</v>
      </c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94" t="str">
        <f>Tabela410[[#Headers],[WILLIAM SHULL]]</f>
        <v>WILLIAM SHULL</v>
      </c>
      <c r="B150" s="95">
        <f>N120</f>
        <v>0</v>
      </c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95">
        <f>N134</f>
        <v>0</v>
      </c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94" t="str">
        <f>Tabela410[[#Headers],[MGM]]</f>
        <v>MGM</v>
      </c>
      <c r="B151" s="98">
        <f>O120</f>
        <v>0</v>
      </c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8">
        <f>O134</f>
        <v>0</v>
      </c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94" t="str">
        <f>Tabela410[[#Headers],[NAVAS]]</f>
        <v>NAVAS</v>
      </c>
      <c r="B152" s="95">
        <f>P120</f>
        <v>0</v>
      </c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95">
        <f>P134</f>
        <v>0</v>
      </c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94" t="str">
        <f>Tabela410[[#Headers],[OJ CHUANTS ]]</f>
        <v xml:space="preserve">OJ CHUANTS </v>
      </c>
      <c r="B153" s="98">
        <f>Q120</f>
        <v>0</v>
      </c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8">
        <f>Q134</f>
        <v>0</v>
      </c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94" t="str">
        <f>Tabela410[[#Headers],[PIANCE]]</f>
        <v>PIANCE</v>
      </c>
      <c r="B154" s="95">
        <f>R120</f>
        <v>0</v>
      </c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95">
        <f>R134</f>
        <v>0</v>
      </c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94" t="str">
        <f>Tabela410[[#Headers],[POLTRONIERI]]</f>
        <v>POLTRONIERI</v>
      </c>
      <c r="B155" s="98">
        <f>S120</f>
        <v>0</v>
      </c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8">
        <f>S134</f>
        <v>0</v>
      </c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94" t="str">
        <f>Tabela410[[#Headers],[PORTO UNIÃO ]]</f>
        <v xml:space="preserve">PORTO UNIÃO </v>
      </c>
      <c r="B156" s="95">
        <f>T120</f>
        <v>0</v>
      </c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95">
        <f>T134</f>
        <v>0</v>
      </c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94" t="str">
        <f>Tabela410[[#Headers],[PRESOTTO]]</f>
        <v>PRESOTTO</v>
      </c>
      <c r="B157" s="98">
        <f>U120</f>
        <v>0</v>
      </c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8">
        <f>T134</f>
        <v>0</v>
      </c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94" t="str">
        <f>Tabela410[[#Headers],[RIVA]]</f>
        <v>RIVA</v>
      </c>
      <c r="B158" s="95">
        <f>V120</f>
        <v>0</v>
      </c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95">
        <f>V134</f>
        <v>0</v>
      </c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94" t="str">
        <f>Tabela410[[#Headers],[SANCHES]]</f>
        <v>SANCHES</v>
      </c>
      <c r="B159" s="98">
        <f>W120</f>
        <v>0</v>
      </c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8">
        <f>W134</f>
        <v>0</v>
      </c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94" t="str">
        <f>Tabela410[[#Headers],[STAM]]</f>
        <v>STAM</v>
      </c>
      <c r="B160" s="95">
        <f>X120</f>
        <v>0</v>
      </c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95">
        <f>X134</f>
        <v>0</v>
      </c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94" t="str">
        <f>Tabela410[[#Headers],[JJ BATENTES]]</f>
        <v>JJ BATENTES</v>
      </c>
      <c r="B161" s="98">
        <f>Y120</f>
        <v>0</v>
      </c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8">
        <f>Y134</f>
        <v>0</v>
      </c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94" t="str">
        <f>Tabela410[[#Headers],[ALAMO]]</f>
        <v>ALAMO</v>
      </c>
      <c r="B162" s="95">
        <f>Z120</f>
        <v>0</v>
      </c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95">
        <f>Z134</f>
        <v>0</v>
      </c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94" t="str">
        <f>Tabela410[[#Headers],[ALUMINIO 2A]]</f>
        <v>ALUMINIO 2A</v>
      </c>
      <c r="B163" s="98">
        <f>AA120</f>
        <v>0</v>
      </c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8">
        <f>AA134</f>
        <v>0</v>
      </c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94" t="str">
        <f>Tabela4[[#Headers],[UNIPORTAS]]</f>
        <v>UNIPORTAS</v>
      </c>
      <c r="B164" s="95">
        <f>AB120</f>
        <v>0</v>
      </c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95">
        <f>AB134</f>
        <v>0</v>
      </c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1:107">
      <c r="A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1:107">
      <c r="A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1:107">
      <c r="A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1:107">
      <c r="A180" s="114" t="s">
        <v>9</v>
      </c>
      <c r="B180" s="114" t="s">
        <v>139</v>
      </c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1:107">
      <c r="A181" s="94" t="str">
        <f>Tabela410[[#Headers],[ARLIZ]]</f>
        <v>ARLIZ</v>
      </c>
      <c r="B181" s="116">
        <f>B212</f>
        <v>0</v>
      </c>
      <c r="C181" s="120">
        <v>1</v>
      </c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1:107">
      <c r="A182" s="94" t="str">
        <f>Tabela410[[#Headers],[CAMOMIL ]]</f>
        <v xml:space="preserve">CAMOMIL </v>
      </c>
      <c r="B182" s="116">
        <f>C212</f>
        <v>0</v>
      </c>
      <c r="C182" s="120">
        <v>2</v>
      </c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1:107">
      <c r="A183" s="94" t="str">
        <f>Tabela410[[#Headers],[COMPANY]]</f>
        <v>COMPANY</v>
      </c>
      <c r="B183" s="116">
        <f>D212</f>
        <v>0</v>
      </c>
      <c r="C183" s="120">
        <v>3</v>
      </c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1:107">
      <c r="A184" s="94" t="str">
        <f>Tabela410[[#Headers],[DALCOMADE]]</f>
        <v>DALCOMADE</v>
      </c>
      <c r="B184" s="116">
        <f>E212</f>
        <v>0</v>
      </c>
      <c r="C184" s="120">
        <v>4</v>
      </c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1:107">
      <c r="A185" s="94" t="str">
        <f>Tabela410[[#Headers],[EUCATEX]]</f>
        <v>EUCATEX</v>
      </c>
      <c r="B185" s="116">
        <f>F212</f>
        <v>0</v>
      </c>
      <c r="C185" s="120">
        <v>5</v>
      </c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1:107">
      <c r="A186" s="94" t="str">
        <f>Tabela410[[#Headers],[GN-MADEIRAS]]</f>
        <v>GN-MADEIRAS</v>
      </c>
      <c r="B186" s="116">
        <f>G212</f>
        <v>0</v>
      </c>
      <c r="C186" s="120">
        <v>6</v>
      </c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1:107">
      <c r="A187" s="94" t="str">
        <f>Tabela410[[#Headers],[IDEAL]]</f>
        <v>IDEAL</v>
      </c>
      <c r="B187" s="116">
        <f>H212</f>
        <v>0</v>
      </c>
      <c r="C187" s="120">
        <v>7</v>
      </c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1:107">
      <c r="A188" s="94" t="str">
        <f>Tabela410[[#Headers],[IRMÃS NAVAS]]</f>
        <v>IRMÃS NAVAS</v>
      </c>
      <c r="B188" s="116">
        <f>I212</f>
        <v>0</v>
      </c>
      <c r="C188" s="120">
        <v>8</v>
      </c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1:107">
      <c r="A189" s="94" t="str">
        <f>Tabela410[[#Headers],[IMPEL]]</f>
        <v>IMPEL</v>
      </c>
      <c r="B189" s="116">
        <f>J212</f>
        <v>0</v>
      </c>
      <c r="C189" s="120">
        <v>9</v>
      </c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1:107">
      <c r="A190" s="94" t="str">
        <f>Tabela410[[#Headers],[RODEIO]]</f>
        <v>RODEIO</v>
      </c>
      <c r="B190" s="116">
        <f>K212</f>
        <v>0</v>
      </c>
      <c r="C190" s="120">
        <v>10</v>
      </c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1:107">
      <c r="A191" s="94" t="str">
        <f>Tabela410[[#Headers],[SUL PORTAS]]</f>
        <v>SUL PORTAS</v>
      </c>
      <c r="B191" s="116">
        <f>L212</f>
        <v>0</v>
      </c>
      <c r="C191" s="120">
        <v>11</v>
      </c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1:107">
      <c r="A192" s="94" t="str">
        <f>Tabela410[[#Headers],[MAD CASTOR]]</f>
        <v>MAD CASTOR</v>
      </c>
      <c r="B192" s="116">
        <f>M212</f>
        <v>0</v>
      </c>
      <c r="C192" s="120">
        <v>12</v>
      </c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1:107">
      <c r="A193" s="94" t="str">
        <f>Tabela410[[#Headers],[WILLIAM SHULL]]</f>
        <v>WILLIAM SHULL</v>
      </c>
      <c r="B193" s="116">
        <f>N212</f>
        <v>0</v>
      </c>
      <c r="C193" s="120">
        <v>13</v>
      </c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 s="94" t="str">
        <f>Tabela410[[#Headers],[MGM]]</f>
        <v>MGM</v>
      </c>
      <c r="B194" s="116">
        <f>O212</f>
        <v>0</v>
      </c>
      <c r="C194" s="120">
        <v>14</v>
      </c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  <row r="195" spans="1:107">
      <c r="A195" s="94" t="str">
        <f>Tabela410[[#Headers],[NAVAS]]</f>
        <v>NAVAS</v>
      </c>
      <c r="B195" s="116">
        <f>P212</f>
        <v>0</v>
      </c>
      <c r="C195" s="120">
        <v>15</v>
      </c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</row>
    <row r="196" spans="1:107">
      <c r="A196" s="94" t="str">
        <f>Tabela410[[#Headers],[OJ CHUANTS ]]</f>
        <v xml:space="preserve">OJ CHUANTS </v>
      </c>
      <c r="B196" s="116">
        <f>Q212</f>
        <v>0</v>
      </c>
      <c r="C196" s="120">
        <v>16</v>
      </c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</row>
    <row r="197" spans="1:107">
      <c r="A197" s="94" t="str">
        <f>Tabela410[[#Headers],[PIANCE]]</f>
        <v>PIANCE</v>
      </c>
      <c r="B197" s="116">
        <f>R212</f>
        <v>0</v>
      </c>
      <c r="C197" s="120">
        <v>17</v>
      </c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</row>
    <row r="198" spans="1:107">
      <c r="A198" s="94" t="str">
        <f>Tabela410[[#Headers],[POLTRONIERI]]</f>
        <v>POLTRONIERI</v>
      </c>
      <c r="B198" s="116">
        <f>S212</f>
        <v>0</v>
      </c>
      <c r="C198" s="120">
        <v>18</v>
      </c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</row>
    <row r="199" spans="1:107">
      <c r="A199" s="94" t="str">
        <f>Tabela410[[#Headers],[PORTO UNIÃO ]]</f>
        <v xml:space="preserve">PORTO UNIÃO </v>
      </c>
      <c r="B199" s="116">
        <f>T212</f>
        <v>0</v>
      </c>
      <c r="C199" s="120">
        <v>19</v>
      </c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</row>
    <row r="200" spans="1:107">
      <c r="A200" s="94" t="str">
        <f>Tabela410[[#Headers],[PRESOTTO]]</f>
        <v>PRESOTTO</v>
      </c>
      <c r="B200" s="116">
        <f>U212</f>
        <v>0</v>
      </c>
      <c r="C200" s="120">
        <v>20</v>
      </c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</row>
    <row r="201" spans="1:107">
      <c r="A201" s="94" t="str">
        <f>Tabela410[[#Headers],[RIVA]]</f>
        <v>RIVA</v>
      </c>
      <c r="B201" s="116">
        <f>V212</f>
        <v>0</v>
      </c>
      <c r="C201" s="120">
        <v>21</v>
      </c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</row>
    <row r="202" spans="1:107">
      <c r="A202" s="94" t="str">
        <f>Tabela410[[#Headers],[SANCHES]]</f>
        <v>SANCHES</v>
      </c>
      <c r="B202" s="116">
        <f>W212</f>
        <v>0</v>
      </c>
      <c r="C202" s="120">
        <v>22</v>
      </c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</row>
    <row r="203" spans="1:107">
      <c r="A203" s="94" t="str">
        <f>Tabela410[[#Headers],[STAM]]</f>
        <v>STAM</v>
      </c>
      <c r="B203" s="116">
        <f>X212</f>
        <v>0</v>
      </c>
      <c r="C203" s="120">
        <v>23</v>
      </c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</row>
    <row r="204" spans="1:107">
      <c r="A204" s="94" t="str">
        <f>Tabela410[[#Headers],[JJ BATENTES]]</f>
        <v>JJ BATENTES</v>
      </c>
      <c r="B204" s="116">
        <f>Y212</f>
        <v>0</v>
      </c>
      <c r="C204" s="120">
        <v>24</v>
      </c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</row>
    <row r="205" spans="1:107">
      <c r="A205" s="94" t="str">
        <f>Tabela410[[#Headers],[ALAMO]]</f>
        <v>ALAMO</v>
      </c>
      <c r="B205" s="116">
        <f>Z212</f>
        <v>0</v>
      </c>
      <c r="C205" s="120">
        <v>25</v>
      </c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</row>
    <row r="206" spans="1:107">
      <c r="A206" s="94" t="str">
        <f>Tabela410[[#Headers],[ALUMINIO 2A]]</f>
        <v>ALUMINIO 2A</v>
      </c>
      <c r="B206" s="116">
        <f>AA212</f>
        <v>0</v>
      </c>
      <c r="C206" s="120">
        <v>26</v>
      </c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</row>
    <row r="207" spans="1:107">
      <c r="A207" s="94" t="str">
        <f>Tabela4[[#Headers],[UNIPORTAS]]</f>
        <v>UNIPORTAS</v>
      </c>
      <c r="B207" s="116">
        <f>AB212</f>
        <v>0</v>
      </c>
      <c r="C207" s="120">
        <v>27</v>
      </c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</row>
    <row r="208" spans="1:107">
      <c r="A208" s="101">
        <f>COUNTA(A181:A207)</f>
        <v>27</v>
      </c>
      <c r="B208" s="100">
        <f>SUM(B181:B207)</f>
        <v>0</v>
      </c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</row>
    <row r="209" spans="1:107">
      <c r="A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</row>
    <row r="210" spans="1:107">
      <c r="A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</row>
    <row r="211" spans="1:107" s="117" customFormat="1">
      <c r="B211" s="120">
        <v>1</v>
      </c>
      <c r="C211" s="120">
        <v>2</v>
      </c>
      <c r="D211" s="120">
        <v>3</v>
      </c>
      <c r="E211" s="120">
        <v>4</v>
      </c>
      <c r="F211" s="120">
        <v>5</v>
      </c>
      <c r="G211" s="120">
        <v>6</v>
      </c>
      <c r="H211" s="120">
        <v>7</v>
      </c>
      <c r="I211" s="120">
        <v>8</v>
      </c>
      <c r="J211" s="120">
        <v>9</v>
      </c>
      <c r="K211" s="120">
        <v>10</v>
      </c>
      <c r="L211" s="120">
        <v>11</v>
      </c>
      <c r="M211" s="120">
        <v>12</v>
      </c>
      <c r="N211" s="120">
        <v>13</v>
      </c>
      <c r="O211" s="120">
        <v>14</v>
      </c>
      <c r="P211" s="120">
        <v>15</v>
      </c>
      <c r="Q211" s="120">
        <v>16</v>
      </c>
      <c r="R211" s="120">
        <v>17</v>
      </c>
      <c r="S211" s="120">
        <v>18</v>
      </c>
      <c r="T211" s="120">
        <v>19</v>
      </c>
      <c r="U211" s="120">
        <v>20</v>
      </c>
      <c r="V211" s="120">
        <v>21</v>
      </c>
      <c r="W211" s="120">
        <v>22</v>
      </c>
      <c r="X211" s="120">
        <v>23</v>
      </c>
      <c r="Y211" s="120">
        <v>24</v>
      </c>
      <c r="Z211" s="120">
        <v>25</v>
      </c>
      <c r="AA211" s="120">
        <v>26</v>
      </c>
      <c r="AB211" s="120">
        <v>27</v>
      </c>
      <c r="AC211" s="120"/>
    </row>
    <row r="212" spans="1:107" s="117" customFormat="1">
      <c r="B212" s="118">
        <f>B52</f>
        <v>0</v>
      </c>
      <c r="C212" s="118">
        <f t="shared" ref="C212:AB212" si="4">C52</f>
        <v>0</v>
      </c>
      <c r="D212" s="118">
        <f t="shared" si="4"/>
        <v>0</v>
      </c>
      <c r="E212" s="118">
        <f t="shared" si="4"/>
        <v>0</v>
      </c>
      <c r="F212" s="118">
        <f t="shared" si="4"/>
        <v>0</v>
      </c>
      <c r="G212" s="118">
        <f t="shared" si="4"/>
        <v>0</v>
      </c>
      <c r="H212" s="118">
        <f t="shared" si="4"/>
        <v>0</v>
      </c>
      <c r="I212" s="118">
        <f t="shared" si="4"/>
        <v>0</v>
      </c>
      <c r="J212" s="118">
        <f t="shared" si="4"/>
        <v>0</v>
      </c>
      <c r="K212" s="118">
        <f t="shared" si="4"/>
        <v>0</v>
      </c>
      <c r="L212" s="118">
        <f t="shared" si="4"/>
        <v>0</v>
      </c>
      <c r="M212" s="118">
        <f t="shared" si="4"/>
        <v>0</v>
      </c>
      <c r="N212" s="118">
        <f t="shared" si="4"/>
        <v>0</v>
      </c>
      <c r="O212" s="118">
        <f>O52</f>
        <v>0</v>
      </c>
      <c r="P212" s="118">
        <f t="shared" si="4"/>
        <v>0</v>
      </c>
      <c r="Q212" s="118">
        <f t="shared" si="4"/>
        <v>0</v>
      </c>
      <c r="R212" s="118">
        <f t="shared" si="4"/>
        <v>0</v>
      </c>
      <c r="S212" s="118">
        <f t="shared" si="4"/>
        <v>0</v>
      </c>
      <c r="T212" s="118">
        <f t="shared" si="4"/>
        <v>0</v>
      </c>
      <c r="U212" s="118">
        <f t="shared" si="4"/>
        <v>0</v>
      </c>
      <c r="V212" s="118">
        <f t="shared" si="4"/>
        <v>0</v>
      </c>
      <c r="W212" s="118">
        <f>W52</f>
        <v>0</v>
      </c>
      <c r="X212" s="118">
        <f t="shared" si="4"/>
        <v>0</v>
      </c>
      <c r="Y212" s="118">
        <f t="shared" si="4"/>
        <v>0</v>
      </c>
      <c r="Z212" s="118">
        <f t="shared" si="4"/>
        <v>0</v>
      </c>
      <c r="AA212" s="118">
        <f t="shared" si="4"/>
        <v>0</v>
      </c>
      <c r="AB212" s="118">
        <f t="shared" si="4"/>
        <v>0</v>
      </c>
      <c r="AC212" s="118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/>
      <c r="AN212" s="119"/>
      <c r="AO212" s="119"/>
      <c r="AP212" s="119"/>
      <c r="AQ212" s="119"/>
      <c r="AR212" s="119"/>
      <c r="AS212" s="119"/>
      <c r="AT212" s="119"/>
      <c r="AU212" s="119"/>
      <c r="AV212" s="119"/>
      <c r="AW212" s="119"/>
      <c r="AX212" s="119"/>
      <c r="AY212" s="119"/>
      <c r="AZ212" s="119"/>
      <c r="BA212" s="119"/>
      <c r="BB212" s="119"/>
      <c r="BC212" s="119"/>
      <c r="BD212" s="119"/>
      <c r="BE212" s="119"/>
      <c r="BF212" s="119"/>
      <c r="BG212" s="119"/>
      <c r="BH212" s="119"/>
      <c r="BI212" s="119"/>
      <c r="BJ212" s="119"/>
      <c r="BK212" s="119"/>
      <c r="BL212" s="119"/>
      <c r="BM212" s="119"/>
      <c r="BN212" s="119"/>
      <c r="BO212" s="119"/>
      <c r="BP212" s="119"/>
      <c r="BQ212" s="119"/>
      <c r="BR212" s="119"/>
      <c r="BS212" s="119"/>
      <c r="BT212" s="119"/>
      <c r="BU212" s="119"/>
      <c r="BV212" s="119"/>
      <c r="BW212" s="119"/>
    </row>
    <row r="213" spans="1:107">
      <c r="A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</row>
    <row r="214" spans="1:107">
      <c r="A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</row>
    <row r="215" spans="1:107">
      <c r="A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</row>
    <row r="216" spans="1:107">
      <c r="A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</row>
    <row r="217" spans="1:107">
      <c r="A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</row>
    <row r="218" spans="1:107">
      <c r="A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</row>
    <row r="219" spans="1:107">
      <c r="A219" s="110" t="s">
        <v>9</v>
      </c>
      <c r="B219" s="108" t="s">
        <v>139</v>
      </c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</row>
    <row r="220" spans="1:107">
      <c r="A220" s="109" t="str">
        <f t="shared" ref="A220:B220" si="5">A181</f>
        <v>ARLIZ</v>
      </c>
      <c r="B220" s="121">
        <f t="shared" si="5"/>
        <v>0</v>
      </c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</row>
    <row r="221" spans="1:107">
      <c r="A221" s="109" t="str">
        <f t="shared" ref="A221:B221" si="6">A194</f>
        <v>MGM</v>
      </c>
      <c r="B221" s="121">
        <f t="shared" si="6"/>
        <v>0</v>
      </c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</row>
    <row r="222" spans="1:107">
      <c r="A222" s="109" t="str">
        <f t="shared" ref="A222:B222" si="7">A198</f>
        <v>POLTRONIERI</v>
      </c>
      <c r="B222" s="121">
        <f t="shared" si="7"/>
        <v>0</v>
      </c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</row>
    <row r="223" spans="1:107">
      <c r="A223" s="109" t="str">
        <f t="shared" ref="A223:B223" si="8">A205</f>
        <v>ALAMO</v>
      </c>
      <c r="B223" s="121">
        <f t="shared" si="8"/>
        <v>0</v>
      </c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</row>
    <row r="224" spans="1:107">
      <c r="A224">
        <f t="shared" ref="A224:B224" si="9">A208</f>
        <v>27</v>
      </c>
      <c r="B224">
        <f t="shared" si="9"/>
        <v>0</v>
      </c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s="39" customFormat="1"/>
    <row r="395" s="39" customFormat="1"/>
    <row r="396" s="39" customFormat="1"/>
    <row r="397" s="39" customFormat="1"/>
    <row r="398" s="39" customFormat="1"/>
    <row r="399" s="39" customFormat="1"/>
    <row r="400" s="39" customFormat="1"/>
    <row r="401" s="39" customFormat="1"/>
    <row r="402" s="39" customFormat="1"/>
    <row r="403" s="39" customFormat="1"/>
    <row r="404" s="39" customFormat="1"/>
    <row r="405" s="39" customFormat="1"/>
    <row r="406" s="39" customFormat="1"/>
    <row r="407" s="39" customFormat="1"/>
    <row r="408" s="39" customFormat="1"/>
    <row r="409" s="39" customFormat="1"/>
    <row r="410" s="39" customFormat="1"/>
    <row r="411" s="39" customFormat="1"/>
    <row r="412" s="39" customFormat="1"/>
    <row r="413" s="39" customFormat="1"/>
    <row r="414" s="39" customFormat="1"/>
    <row r="415" s="39" customFormat="1"/>
    <row r="416" s="39" customFormat="1"/>
    <row r="417" s="39" customFormat="1"/>
    <row r="418" s="39" customFormat="1"/>
    <row r="419" s="39" customFormat="1"/>
    <row r="420" s="39" customFormat="1"/>
    <row r="421" s="39" customFormat="1"/>
    <row r="422" s="39" customFormat="1"/>
    <row r="423" s="39" customFormat="1"/>
    <row r="424" s="39" customFormat="1"/>
    <row r="425" s="39" customFormat="1"/>
    <row r="426" s="39" customFormat="1"/>
    <row r="427" s="39" customFormat="1"/>
    <row r="428" s="39" customFormat="1"/>
    <row r="429" s="39" customFormat="1"/>
    <row r="430" s="39" customFormat="1"/>
    <row r="431" s="39" customFormat="1"/>
    <row r="432" s="39" customFormat="1"/>
    <row r="433" s="39" customFormat="1"/>
    <row r="434" s="39" customFormat="1"/>
    <row r="435" s="39" customFormat="1"/>
    <row r="436" s="39" customFormat="1"/>
    <row r="437" s="39" customFormat="1"/>
    <row r="438" s="39" customFormat="1"/>
    <row r="439" s="39" customFormat="1"/>
    <row r="440" s="39" customFormat="1"/>
    <row r="441" s="39" customFormat="1"/>
    <row r="442" s="39" customFormat="1"/>
    <row r="443" s="39" customFormat="1"/>
    <row r="444" s="39" customFormat="1"/>
    <row r="445" s="39" customFormat="1"/>
    <row r="446" s="39" customFormat="1"/>
    <row r="447" s="39" customFormat="1"/>
    <row r="448" s="39" customFormat="1"/>
    <row r="449" s="39" customFormat="1"/>
    <row r="450" s="39" customFormat="1"/>
    <row r="451" s="39" customFormat="1"/>
    <row r="452" s="39" customFormat="1"/>
    <row r="453" s="39" customFormat="1"/>
    <row r="454" s="39" customFormat="1"/>
    <row r="455" s="39" customFormat="1"/>
    <row r="456" s="39" customFormat="1"/>
    <row r="457" s="39" customFormat="1"/>
    <row r="458" s="39" customFormat="1"/>
    <row r="459" s="39" customFormat="1"/>
    <row r="460" s="39" customFormat="1"/>
    <row r="461" s="39" customFormat="1"/>
    <row r="462" s="39" customFormat="1"/>
    <row r="463" s="39" customFormat="1"/>
    <row r="464" s="39" customFormat="1"/>
    <row r="465" s="39" customFormat="1"/>
    <row r="466" s="39" customFormat="1"/>
    <row r="467" s="39" customFormat="1"/>
    <row r="468" s="39" customFormat="1"/>
    <row r="469" s="39" customFormat="1"/>
    <row r="470" s="39" customFormat="1"/>
    <row r="471" s="39" customFormat="1"/>
    <row r="472" s="39" customFormat="1"/>
    <row r="473" s="39" customFormat="1"/>
    <row r="474" s="39" customFormat="1"/>
    <row r="475" s="39" customFormat="1"/>
    <row r="476" s="39" customFormat="1"/>
    <row r="477" s="39" customFormat="1"/>
    <row r="478" s="39" customFormat="1"/>
    <row r="479" s="39" customFormat="1"/>
    <row r="480" s="39" customFormat="1"/>
    <row r="481" s="39" customFormat="1"/>
    <row r="482" s="39" customFormat="1"/>
    <row r="483" s="39" customFormat="1"/>
    <row r="484" s="39" customFormat="1"/>
    <row r="485" s="39" customFormat="1"/>
    <row r="486" s="39" customFormat="1"/>
    <row r="487" s="39" customFormat="1"/>
    <row r="488" s="39" customFormat="1"/>
    <row r="489" s="39" customFormat="1"/>
    <row r="490" s="39" customFormat="1"/>
    <row r="491" s="39" customFormat="1"/>
    <row r="492" s="39" customFormat="1"/>
    <row r="493" s="39" customFormat="1"/>
    <row r="494" s="39" customFormat="1"/>
    <row r="495" s="39" customFormat="1"/>
    <row r="496" s="39" customFormat="1"/>
    <row r="497" s="39" customFormat="1"/>
    <row r="498" s="39" customFormat="1"/>
    <row r="499" s="39" customFormat="1"/>
    <row r="500" s="39" customFormat="1"/>
    <row r="501" s="39" customFormat="1"/>
    <row r="502" s="39" customFormat="1"/>
    <row r="503" s="39" customFormat="1"/>
    <row r="504" s="39" customFormat="1"/>
    <row r="505" s="39" customFormat="1"/>
    <row r="506" s="39" customFormat="1"/>
    <row r="507" s="39" customFormat="1"/>
    <row r="508" s="39" customFormat="1"/>
    <row r="509" s="39" customFormat="1"/>
    <row r="510" s="39" customFormat="1"/>
    <row r="511" s="39" customFormat="1"/>
    <row r="512" s="39" customFormat="1"/>
    <row r="513" s="39" customFormat="1"/>
    <row r="514" s="39" customFormat="1"/>
    <row r="515" s="39" customFormat="1"/>
    <row r="516" s="39" customFormat="1"/>
    <row r="517" s="39" customFormat="1"/>
    <row r="518" s="39" customFormat="1"/>
    <row r="519" s="39" customFormat="1"/>
    <row r="520" s="39" customFormat="1"/>
    <row r="521" s="39" customFormat="1"/>
    <row r="522" s="39" customFormat="1"/>
    <row r="523" s="39" customFormat="1"/>
    <row r="524" s="39" customFormat="1"/>
    <row r="525" s="39" customFormat="1"/>
    <row r="526" s="39" customFormat="1"/>
    <row r="527" s="39" customFormat="1"/>
    <row r="528" s="39" customFormat="1"/>
    <row r="529" s="39" customFormat="1"/>
    <row r="530" s="39" customFormat="1"/>
    <row r="531" s="39" customFormat="1"/>
  </sheetData>
  <mergeCells count="5">
    <mergeCell ref="A34:A35"/>
    <mergeCell ref="B35:AC35"/>
    <mergeCell ref="B36:L36"/>
    <mergeCell ref="AC36:AC37"/>
    <mergeCell ref="G3:G4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CEAAD-159D-4F9F-8D77-9CDB29985658}">
  <sheetPr codeName="Planilha11"/>
  <dimension ref="A1:I113"/>
  <sheetViews>
    <sheetView workbookViewId="0">
      <pane ySplit="17" topLeftCell="A27" activePane="bottomLeft" state="frozen"/>
      <selection pane="bottomLeft"/>
    </sheetView>
  </sheetViews>
  <sheetFormatPr defaultRowHeight="18.75"/>
  <cols>
    <col min="1" max="1" width="35.85546875" style="162" bestFit="1" customWidth="1"/>
    <col min="2" max="2" width="21.85546875" style="163" bestFit="1" customWidth="1"/>
    <col min="3" max="3" width="32.5703125" style="39" bestFit="1" customWidth="1"/>
    <col min="4" max="4" width="18.42578125" style="39" bestFit="1" customWidth="1"/>
    <col min="5" max="5" width="29.7109375" style="39" bestFit="1" customWidth="1"/>
    <col min="6" max="6" width="27.5703125" style="39" bestFit="1" customWidth="1"/>
    <col min="7" max="7" width="30.42578125" style="39" bestFit="1" customWidth="1"/>
    <col min="8" max="8" width="34.28515625" style="39" bestFit="1" customWidth="1"/>
    <col min="9" max="9" width="30.7109375" style="39" bestFit="1" customWidth="1"/>
    <col min="10" max="10" width="33.5703125" bestFit="1" customWidth="1"/>
    <col min="11" max="11" width="29.42578125" bestFit="1" customWidth="1"/>
    <col min="12" max="12" width="27.42578125" bestFit="1" customWidth="1"/>
    <col min="13" max="13" width="30.28515625" bestFit="1" customWidth="1"/>
    <col min="14" max="14" width="31" bestFit="1" customWidth="1"/>
    <col min="15" max="15" width="28.42578125" bestFit="1" customWidth="1"/>
    <col min="16" max="16" width="32.85546875" bestFit="1" customWidth="1"/>
    <col min="17" max="17" width="23.7109375" bestFit="1" customWidth="1"/>
    <col min="18" max="18" width="27.7109375" bestFit="1" customWidth="1"/>
    <col min="19" max="19" width="25.85546875" bestFit="1" customWidth="1"/>
    <col min="20" max="20" width="20.7109375" bestFit="1" customWidth="1"/>
    <col min="21" max="21" width="13.85546875" bestFit="1" customWidth="1"/>
    <col min="22" max="22" width="32.85546875" bestFit="1" customWidth="1"/>
    <col min="23" max="23" width="27.5703125" bestFit="1" customWidth="1"/>
    <col min="24" max="24" width="26.5703125" bestFit="1" customWidth="1"/>
    <col min="25" max="25" width="16.28515625" bestFit="1" customWidth="1"/>
    <col min="26" max="26" width="10.7109375" bestFit="1" customWidth="1"/>
  </cols>
  <sheetData>
    <row r="1" spans="1:9" ht="6" customHeight="1">
      <c r="A1" s="168"/>
      <c r="B1" s="169"/>
    </row>
    <row r="2" spans="1:9" ht="6" customHeight="1">
      <c r="A2" s="175" t="s">
        <v>160</v>
      </c>
      <c r="B2" s="176">
        <f>GETPIVOTDATA("Correio",$A$17)</f>
        <v>0</v>
      </c>
      <c r="C2" s="213"/>
      <c r="E2" s="39" t="s">
        <v>158</v>
      </c>
    </row>
    <row r="3" spans="1:9" ht="6" customHeight="1">
      <c r="A3" s="175" t="s">
        <v>159</v>
      </c>
      <c r="B3" s="170">
        <f>B2</f>
        <v>0</v>
      </c>
      <c r="C3" s="213"/>
    </row>
    <row r="4" spans="1:9" ht="6" customHeight="1">
      <c r="A4" s="168"/>
      <c r="B4" s="169"/>
      <c r="C4" s="213"/>
    </row>
    <row r="5" spans="1:9" ht="6" customHeight="1">
      <c r="A5" s="168"/>
      <c r="B5" s="169"/>
      <c r="C5" s="234">
        <f>GETPIVOTDATA("Correio",$A$17)</f>
        <v>0</v>
      </c>
    </row>
    <row r="6" spans="1:9" ht="6" customHeight="1">
      <c r="A6" s="168"/>
      <c r="B6" s="169"/>
      <c r="C6" s="234"/>
    </row>
    <row r="7" spans="1:9" ht="6" customHeight="1">
      <c r="A7" s="168"/>
      <c r="B7" s="169"/>
      <c r="C7" s="234"/>
    </row>
    <row r="8" spans="1:9" ht="6" customHeight="1">
      <c r="A8" s="168"/>
      <c r="B8" s="169"/>
      <c r="C8" s="234"/>
    </row>
    <row r="9" spans="1:9" ht="6" customHeight="1">
      <c r="A9" s="168"/>
      <c r="B9" s="169"/>
      <c r="C9" s="234"/>
    </row>
    <row r="10" spans="1:9" ht="6" customHeight="1">
      <c r="A10" s="168"/>
      <c r="B10" s="169"/>
      <c r="C10" s="234"/>
    </row>
    <row r="11" spans="1:9">
      <c r="A11" s="168"/>
      <c r="B11" s="169"/>
    </row>
    <row r="12" spans="1:9" ht="19.5" thickBot="1">
      <c r="A12" s="168"/>
      <c r="B12" s="169"/>
    </row>
    <row r="13" spans="1:9" ht="19.5" thickBot="1">
      <c r="A13" s="164" t="s">
        <v>17</v>
      </c>
      <c r="B13" s="165" t="s">
        <v>162</v>
      </c>
    </row>
    <row r="14" spans="1:9" ht="19.5" thickBot="1">
      <c r="A14" s="164" t="s">
        <v>7</v>
      </c>
      <c r="B14" s="165" t="s">
        <v>98</v>
      </c>
    </row>
    <row r="15" spans="1:9" s="152" customFormat="1" ht="19.5" thickBot="1">
      <c r="A15" s="164" t="s">
        <v>164</v>
      </c>
      <c r="B15" s="166">
        <v>0</v>
      </c>
      <c r="C15" s="5"/>
      <c r="D15" s="5"/>
      <c r="E15" s="5"/>
      <c r="F15" s="5"/>
      <c r="G15" s="5"/>
      <c r="H15" s="5"/>
      <c r="I15" s="5"/>
    </row>
    <row r="16" spans="1:9">
      <c r="A16" s="177"/>
      <c r="B16" s="178"/>
    </row>
    <row r="17" spans="1:2">
      <c r="A17" s="164" t="s">
        <v>156</v>
      </c>
      <c r="B17" s="167" t="s">
        <v>155</v>
      </c>
    </row>
    <row r="18" spans="1:2">
      <c r="A18" s="166" t="s">
        <v>86</v>
      </c>
      <c r="B18" s="179"/>
    </row>
    <row r="19" spans="1:2" ht="15">
      <c r="A19"/>
      <c r="B19"/>
    </row>
    <row r="20" spans="1:2" ht="15">
      <c r="A20"/>
      <c r="B20"/>
    </row>
    <row r="21" spans="1:2" ht="15">
      <c r="A21"/>
      <c r="B21"/>
    </row>
    <row r="22" spans="1:2" ht="15">
      <c r="A22"/>
      <c r="B22"/>
    </row>
    <row r="23" spans="1:2" ht="15">
      <c r="A23"/>
      <c r="B23"/>
    </row>
    <row r="24" spans="1:2" ht="15">
      <c r="A24"/>
      <c r="B24"/>
    </row>
    <row r="25" spans="1:2" ht="15">
      <c r="A25"/>
      <c r="B25"/>
    </row>
    <row r="26" spans="1:2" ht="15">
      <c r="A26"/>
      <c r="B26"/>
    </row>
    <row r="27" spans="1:2" ht="15">
      <c r="A27"/>
      <c r="B27"/>
    </row>
    <row r="28" spans="1:2" ht="15">
      <c r="A28"/>
      <c r="B28"/>
    </row>
    <row r="29" spans="1:2" ht="15">
      <c r="A29"/>
      <c r="B29"/>
    </row>
    <row r="30" spans="1:2" ht="15">
      <c r="A30"/>
      <c r="B30"/>
    </row>
    <row r="31" spans="1:2" ht="15">
      <c r="A31"/>
      <c r="B31"/>
    </row>
    <row r="32" spans="1:2" ht="15">
      <c r="A32"/>
      <c r="B32"/>
    </row>
    <row r="33" spans="1:2" ht="15">
      <c r="A33"/>
      <c r="B33"/>
    </row>
    <row r="34" spans="1:2" ht="15">
      <c r="A34"/>
      <c r="B34"/>
    </row>
    <row r="35" spans="1:2" ht="15">
      <c r="A35"/>
      <c r="B35"/>
    </row>
    <row r="36" spans="1:2" ht="15">
      <c r="A36"/>
      <c r="B36"/>
    </row>
    <row r="37" spans="1:2" ht="15">
      <c r="A37"/>
      <c r="B37"/>
    </row>
    <row r="38" spans="1:2" ht="15">
      <c r="A38"/>
      <c r="B38"/>
    </row>
    <row r="39" spans="1:2" ht="15">
      <c r="A39"/>
      <c r="B39"/>
    </row>
    <row r="40" spans="1:2" ht="15">
      <c r="A40"/>
      <c r="B40"/>
    </row>
    <row r="41" spans="1:2" ht="15">
      <c r="A41"/>
      <c r="B41"/>
    </row>
    <row r="42" spans="1:2" ht="15">
      <c r="A42"/>
      <c r="B42"/>
    </row>
    <row r="43" spans="1:2" ht="15">
      <c r="A43"/>
      <c r="B43"/>
    </row>
    <row r="44" spans="1:2" ht="15">
      <c r="A44"/>
      <c r="B44"/>
    </row>
    <row r="45" spans="1:2" ht="15">
      <c r="A45"/>
      <c r="B45"/>
    </row>
    <row r="46" spans="1:2" ht="15">
      <c r="A46"/>
      <c r="B46"/>
    </row>
    <row r="47" spans="1:2" ht="15">
      <c r="A47"/>
      <c r="B47"/>
    </row>
    <row r="48" spans="1:2" ht="15">
      <c r="A48"/>
      <c r="B48"/>
    </row>
    <row r="49" spans="1:2" ht="15">
      <c r="A49"/>
      <c r="B49"/>
    </row>
    <row r="50" spans="1:2" ht="15">
      <c r="A50"/>
      <c r="B50"/>
    </row>
    <row r="51" spans="1:2" ht="15">
      <c r="A51"/>
      <c r="B51"/>
    </row>
    <row r="52" spans="1:2" ht="15">
      <c r="A52"/>
      <c r="B52"/>
    </row>
    <row r="53" spans="1:2" ht="15">
      <c r="A53"/>
      <c r="B53"/>
    </row>
    <row r="54" spans="1:2" ht="15">
      <c r="A54"/>
      <c r="B54"/>
    </row>
    <row r="55" spans="1:2" ht="15">
      <c r="A55"/>
      <c r="B55"/>
    </row>
    <row r="56" spans="1:2" ht="15">
      <c r="A56"/>
      <c r="B56"/>
    </row>
    <row r="57" spans="1:2" ht="15">
      <c r="A57"/>
      <c r="B57"/>
    </row>
    <row r="58" spans="1:2" ht="15">
      <c r="A58"/>
      <c r="B58"/>
    </row>
    <row r="59" spans="1:2" ht="15">
      <c r="A59" s="39"/>
      <c r="B59" s="39"/>
    </row>
    <row r="60" spans="1:2" ht="15">
      <c r="A60" s="39"/>
      <c r="B60" s="39"/>
    </row>
    <row r="61" spans="1:2">
      <c r="A61" s="168"/>
      <c r="B61" s="168"/>
    </row>
    <row r="62" spans="1:2">
      <c r="A62" s="168"/>
      <c r="B62" s="168"/>
    </row>
    <row r="63" spans="1:2">
      <c r="A63" s="168"/>
      <c r="B63" s="168"/>
    </row>
    <row r="64" spans="1:2">
      <c r="A64" s="168"/>
      <c r="B64" s="168"/>
    </row>
    <row r="65" spans="1:2">
      <c r="A65" s="168"/>
      <c r="B65" s="168"/>
    </row>
    <row r="66" spans="1:2">
      <c r="A66" s="168"/>
      <c r="B66" s="168"/>
    </row>
    <row r="67" spans="1:2">
      <c r="A67" s="168"/>
      <c r="B67" s="168"/>
    </row>
    <row r="68" spans="1:2">
      <c r="A68" s="168"/>
      <c r="B68" s="168"/>
    </row>
    <row r="69" spans="1:2">
      <c r="A69" s="168"/>
      <c r="B69" s="168"/>
    </row>
    <row r="70" spans="1:2">
      <c r="A70" s="168"/>
      <c r="B70" s="168"/>
    </row>
    <row r="71" spans="1:2">
      <c r="A71" s="168"/>
      <c r="B71" s="168"/>
    </row>
    <row r="72" spans="1:2">
      <c r="A72" s="168"/>
      <c r="B72" s="168"/>
    </row>
    <row r="73" spans="1:2">
      <c r="A73" s="168"/>
      <c r="B73" s="168"/>
    </row>
    <row r="74" spans="1:2">
      <c r="A74" s="168"/>
      <c r="B74" s="168"/>
    </row>
    <row r="75" spans="1:2">
      <c r="A75" s="168"/>
      <c r="B75" s="168"/>
    </row>
    <row r="76" spans="1:2">
      <c r="A76" s="168"/>
      <c r="B76" s="168"/>
    </row>
    <row r="77" spans="1:2">
      <c r="A77" s="168"/>
      <c r="B77" s="168"/>
    </row>
    <row r="78" spans="1:2">
      <c r="A78" s="168"/>
      <c r="B78" s="168"/>
    </row>
    <row r="79" spans="1:2">
      <c r="A79" s="168"/>
      <c r="B79" s="168"/>
    </row>
    <row r="80" spans="1:2">
      <c r="A80" s="168"/>
      <c r="B80" s="168"/>
    </row>
    <row r="81" spans="1:2">
      <c r="A81" s="168"/>
      <c r="B81" s="168"/>
    </row>
    <row r="82" spans="1:2">
      <c r="A82" s="168"/>
      <c r="B82" s="168"/>
    </row>
    <row r="83" spans="1:2">
      <c r="A83" s="168"/>
      <c r="B83" s="168"/>
    </row>
    <row r="84" spans="1:2">
      <c r="A84" s="168"/>
      <c r="B84" s="168"/>
    </row>
    <row r="85" spans="1:2">
      <c r="A85" s="168"/>
      <c r="B85" s="168"/>
    </row>
    <row r="86" spans="1:2">
      <c r="A86" s="168"/>
      <c r="B86" s="168"/>
    </row>
    <row r="87" spans="1:2">
      <c r="A87" s="168"/>
      <c r="B87" s="168"/>
    </row>
    <row r="88" spans="1:2">
      <c r="A88" s="168"/>
      <c r="B88" s="168"/>
    </row>
    <row r="89" spans="1:2">
      <c r="A89" s="168"/>
      <c r="B89" s="168"/>
    </row>
    <row r="90" spans="1:2">
      <c r="A90" s="168"/>
      <c r="B90" s="168"/>
    </row>
    <row r="91" spans="1:2">
      <c r="A91" s="168"/>
      <c r="B91" s="168"/>
    </row>
    <row r="92" spans="1:2">
      <c r="A92" s="168"/>
      <c r="B92" s="168"/>
    </row>
    <row r="93" spans="1:2">
      <c r="A93" s="168"/>
      <c r="B93" s="168"/>
    </row>
    <row r="94" spans="1:2">
      <c r="A94" s="168"/>
      <c r="B94" s="168"/>
    </row>
    <row r="95" spans="1:2">
      <c r="A95" s="168"/>
      <c r="B95" s="168"/>
    </row>
    <row r="96" spans="1:2">
      <c r="A96" s="168"/>
      <c r="B96" s="168"/>
    </row>
    <row r="97" spans="1:2">
      <c r="A97" s="168"/>
      <c r="B97" s="169"/>
    </row>
    <row r="98" spans="1:2">
      <c r="A98" s="168"/>
      <c r="B98" s="169"/>
    </row>
    <row r="99" spans="1:2">
      <c r="A99" s="168"/>
      <c r="B99" s="169"/>
    </row>
    <row r="100" spans="1:2">
      <c r="A100" s="168"/>
      <c r="B100" s="169"/>
    </row>
    <row r="101" spans="1:2">
      <c r="A101" s="168"/>
      <c r="B101" s="169"/>
    </row>
    <row r="102" spans="1:2">
      <c r="A102" s="168"/>
      <c r="B102" s="169"/>
    </row>
    <row r="103" spans="1:2">
      <c r="A103" s="168"/>
      <c r="B103" s="169"/>
    </row>
    <row r="104" spans="1:2">
      <c r="A104" s="168"/>
      <c r="B104" s="169"/>
    </row>
    <row r="105" spans="1:2">
      <c r="A105" s="168"/>
      <c r="B105" s="169"/>
    </row>
    <row r="106" spans="1:2">
      <c r="A106" s="168"/>
      <c r="B106" s="169"/>
    </row>
    <row r="107" spans="1:2">
      <c r="A107" s="168"/>
      <c r="B107" s="169"/>
    </row>
    <row r="108" spans="1:2">
      <c r="A108" s="168"/>
      <c r="B108" s="169"/>
    </row>
    <row r="109" spans="1:2">
      <c r="A109" s="168"/>
      <c r="B109" s="169"/>
    </row>
    <row r="110" spans="1:2">
      <c r="A110" s="168"/>
      <c r="B110" s="169"/>
    </row>
    <row r="111" spans="1:2">
      <c r="A111" s="168"/>
      <c r="B111" s="169"/>
    </row>
    <row r="112" spans="1:2">
      <c r="A112" s="168"/>
      <c r="B112" s="169"/>
    </row>
    <row r="113" spans="1:2">
      <c r="A113" s="168"/>
      <c r="B113" s="169"/>
    </row>
  </sheetData>
  <mergeCells count="2">
    <mergeCell ref="C5:C10"/>
    <mergeCell ref="C2:C4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3579C-F8F8-46DD-A761-2CDAEF6DE522}">
  <sheetPr codeName="Planilha14"/>
  <dimension ref="A1:I115"/>
  <sheetViews>
    <sheetView showGridLines="0" showRowColHeaders="0" workbookViewId="0">
      <pane ySplit="17" topLeftCell="A18" activePane="bottomLeft" state="frozen"/>
      <selection pane="bottomLeft"/>
    </sheetView>
  </sheetViews>
  <sheetFormatPr defaultRowHeight="18.75"/>
  <cols>
    <col min="1" max="1" width="35.85546875" style="162" bestFit="1" customWidth="1"/>
    <col min="2" max="2" width="21.85546875" style="163" bestFit="1" customWidth="1"/>
    <col min="3" max="3" width="25.140625" style="39" bestFit="1" customWidth="1"/>
    <col min="4" max="4" width="18.42578125" style="39" bestFit="1" customWidth="1"/>
    <col min="5" max="5" width="29.7109375" style="39" bestFit="1" customWidth="1"/>
    <col min="6" max="6" width="27.5703125" style="39" bestFit="1" customWidth="1"/>
    <col min="7" max="7" width="30.42578125" style="39" bestFit="1" customWidth="1"/>
    <col min="8" max="8" width="34.28515625" style="39" bestFit="1" customWidth="1"/>
    <col min="9" max="9" width="30.7109375" style="39" bestFit="1" customWidth="1"/>
    <col min="10" max="10" width="33.5703125" bestFit="1" customWidth="1"/>
    <col min="11" max="11" width="29.42578125" bestFit="1" customWidth="1"/>
    <col min="12" max="12" width="27.42578125" bestFit="1" customWidth="1"/>
    <col min="13" max="13" width="30.28515625" bestFit="1" customWidth="1"/>
    <col min="14" max="14" width="31" bestFit="1" customWidth="1"/>
    <col min="15" max="15" width="28.42578125" bestFit="1" customWidth="1"/>
    <col min="16" max="16" width="32.85546875" bestFit="1" customWidth="1"/>
    <col min="17" max="17" width="23.7109375" bestFit="1" customWidth="1"/>
    <col min="18" max="18" width="27.7109375" bestFit="1" customWidth="1"/>
    <col min="19" max="19" width="25.85546875" bestFit="1" customWidth="1"/>
    <col min="20" max="20" width="20.7109375" bestFit="1" customWidth="1"/>
    <col min="21" max="21" width="13.85546875" bestFit="1" customWidth="1"/>
    <col min="22" max="22" width="32.85546875" bestFit="1" customWidth="1"/>
    <col min="23" max="23" width="27.5703125" bestFit="1" customWidth="1"/>
    <col min="24" max="24" width="26.5703125" bestFit="1" customWidth="1"/>
    <col min="25" max="25" width="16.28515625" bestFit="1" customWidth="1"/>
    <col min="26" max="26" width="10.7109375" bestFit="1" customWidth="1"/>
  </cols>
  <sheetData>
    <row r="1" spans="1:9" s="160" customFormat="1" ht="6" customHeight="1">
      <c r="A1" s="171"/>
      <c r="B1" s="172"/>
    </row>
    <row r="2" spans="1:9" s="66" customFormat="1" ht="6" customHeight="1">
      <c r="A2" s="173" t="s">
        <v>160</v>
      </c>
      <c r="B2" s="174">
        <f>GETPIVOTDATA("Correio",$A$17)</f>
        <v>0</v>
      </c>
    </row>
    <row r="3" spans="1:9" s="66" customFormat="1" ht="6" customHeight="1">
      <c r="A3" s="173" t="s">
        <v>161</v>
      </c>
      <c r="B3" s="174">
        <f>B2</f>
        <v>0</v>
      </c>
    </row>
    <row r="4" spans="1:9" s="160" customFormat="1" ht="6" customHeight="1">
      <c r="B4" s="161"/>
    </row>
    <row r="5" spans="1:9" s="160" customFormat="1" ht="6" customHeight="1">
      <c r="A5" s="171"/>
      <c r="B5" s="172"/>
      <c r="C5" s="234">
        <f>GETPIVOTDATA("Correio",$A$17)</f>
        <v>0</v>
      </c>
    </row>
    <row r="6" spans="1:9" s="39" customFormat="1" ht="6" customHeight="1">
      <c r="A6" s="168"/>
      <c r="B6" s="169"/>
      <c r="C6" s="234"/>
    </row>
    <row r="7" spans="1:9" s="39" customFormat="1" ht="6" customHeight="1">
      <c r="A7" s="168"/>
      <c r="B7" s="169"/>
      <c r="C7" s="234"/>
    </row>
    <row r="8" spans="1:9" s="39" customFormat="1" ht="6" customHeight="1">
      <c r="A8" s="168"/>
      <c r="B8" s="169"/>
      <c r="C8" s="234"/>
    </row>
    <row r="9" spans="1:9" ht="6" customHeight="1">
      <c r="A9" s="168"/>
      <c r="B9" s="169"/>
      <c r="C9" s="234"/>
    </row>
    <row r="10" spans="1:9" ht="6" customHeight="1">
      <c r="A10" s="168"/>
      <c r="B10" s="169"/>
      <c r="C10" s="234"/>
    </row>
    <row r="11" spans="1:9">
      <c r="A11" s="168"/>
      <c r="B11" s="169"/>
    </row>
    <row r="12" spans="1:9" ht="19.5" thickBot="1">
      <c r="A12" s="168"/>
      <c r="B12" s="169"/>
    </row>
    <row r="13" spans="1:9">
      <c r="A13" s="164" t="s">
        <v>17</v>
      </c>
      <c r="B13" s="165" t="s">
        <v>162</v>
      </c>
    </row>
    <row r="14" spans="1:9">
      <c r="A14" s="164" t="s">
        <v>7</v>
      </c>
      <c r="B14" s="165" t="s">
        <v>98</v>
      </c>
    </row>
    <row r="15" spans="1:9" s="152" customFormat="1">
      <c r="A15" s="164" t="s">
        <v>164</v>
      </c>
      <c r="B15" s="166">
        <v>0</v>
      </c>
      <c r="C15" s="5"/>
      <c r="D15" s="5"/>
      <c r="E15" s="5"/>
      <c r="F15" s="5"/>
      <c r="G15" s="5"/>
      <c r="H15" s="5"/>
      <c r="I15" s="5"/>
    </row>
    <row r="16" spans="1:9">
      <c r="A16" s="177"/>
      <c r="B16" s="178"/>
    </row>
    <row r="17" spans="1:3">
      <c r="A17" s="164" t="s">
        <v>156</v>
      </c>
      <c r="B17" s="167" t="s">
        <v>155</v>
      </c>
      <c r="C17"/>
    </row>
    <row r="18" spans="1:3">
      <c r="A18" s="166" t="s">
        <v>86</v>
      </c>
      <c r="B18" s="179"/>
      <c r="C18"/>
    </row>
    <row r="19" spans="1:3" ht="15">
      <c r="A19"/>
      <c r="B19"/>
      <c r="C19"/>
    </row>
    <row r="20" spans="1:3" ht="15">
      <c r="A20"/>
      <c r="B20"/>
      <c r="C20"/>
    </row>
    <row r="21" spans="1:3" ht="15">
      <c r="A21"/>
      <c r="B21"/>
      <c r="C21"/>
    </row>
    <row r="22" spans="1:3" ht="15">
      <c r="A22"/>
      <c r="B22"/>
      <c r="C22"/>
    </row>
    <row r="23" spans="1:3" ht="15">
      <c r="A23"/>
      <c r="B23"/>
      <c r="C23"/>
    </row>
    <row r="24" spans="1:3" ht="15">
      <c r="A24"/>
      <c r="B24"/>
      <c r="C24"/>
    </row>
    <row r="25" spans="1:3" ht="15">
      <c r="A25"/>
      <c r="B25"/>
      <c r="C25"/>
    </row>
    <row r="26" spans="1:3" ht="15">
      <c r="A26"/>
      <c r="B26"/>
      <c r="C26"/>
    </row>
    <row r="27" spans="1:3" ht="15">
      <c r="A27"/>
      <c r="B27"/>
      <c r="C27"/>
    </row>
    <row r="28" spans="1:3" ht="15">
      <c r="A28"/>
      <c r="B28"/>
      <c r="C28"/>
    </row>
    <row r="29" spans="1:3" ht="15">
      <c r="A29"/>
      <c r="B29"/>
      <c r="C29"/>
    </row>
    <row r="30" spans="1:3" ht="15">
      <c r="A30"/>
      <c r="B30"/>
      <c r="C30"/>
    </row>
    <row r="31" spans="1:3" ht="15">
      <c r="A31"/>
      <c r="B31"/>
      <c r="C31"/>
    </row>
    <row r="32" spans="1:3" ht="15">
      <c r="A32"/>
      <c r="B32"/>
      <c r="C32"/>
    </row>
    <row r="33" spans="1:3" ht="15">
      <c r="A33"/>
      <c r="B33"/>
      <c r="C33"/>
    </row>
    <row r="34" spans="1:3" ht="15">
      <c r="A34"/>
      <c r="B34"/>
      <c r="C34"/>
    </row>
    <row r="35" spans="1:3" ht="15">
      <c r="A35"/>
      <c r="B35"/>
      <c r="C35"/>
    </row>
    <row r="36" spans="1:3" ht="15">
      <c r="A36"/>
      <c r="B36"/>
      <c r="C36"/>
    </row>
    <row r="37" spans="1:3" ht="15">
      <c r="A37"/>
      <c r="B37"/>
      <c r="C37"/>
    </row>
    <row r="38" spans="1:3" ht="15">
      <c r="A38"/>
      <c r="B38"/>
      <c r="C38"/>
    </row>
    <row r="39" spans="1:3" ht="15">
      <c r="A39"/>
      <c r="B39"/>
      <c r="C39"/>
    </row>
    <row r="40" spans="1:3" ht="15">
      <c r="A40"/>
      <c r="B40"/>
      <c r="C40"/>
    </row>
    <row r="41" spans="1:3" ht="15">
      <c r="A41"/>
      <c r="B41"/>
      <c r="C41"/>
    </row>
    <row r="42" spans="1:3" ht="15">
      <c r="A42"/>
      <c r="B42"/>
      <c r="C42"/>
    </row>
    <row r="43" spans="1:3" ht="15">
      <c r="A43"/>
      <c r="B43"/>
      <c r="C43"/>
    </row>
    <row r="44" spans="1:3" ht="15">
      <c r="A44"/>
      <c r="B44"/>
      <c r="C44"/>
    </row>
    <row r="45" spans="1:3" ht="15">
      <c r="A45"/>
      <c r="B45"/>
      <c r="C45"/>
    </row>
    <row r="46" spans="1:3" ht="15">
      <c r="A46"/>
      <c r="B46"/>
      <c r="C46"/>
    </row>
    <row r="47" spans="1:3" ht="15">
      <c r="A47"/>
      <c r="B47"/>
      <c r="C47"/>
    </row>
    <row r="48" spans="1:3" ht="15">
      <c r="A48"/>
      <c r="B48"/>
      <c r="C48"/>
    </row>
    <row r="49" spans="1:3" ht="15">
      <c r="A49"/>
      <c r="B49"/>
      <c r="C49"/>
    </row>
    <row r="50" spans="1:3" ht="15">
      <c r="A50"/>
      <c r="B50"/>
      <c r="C50"/>
    </row>
    <row r="51" spans="1:3" ht="15">
      <c r="A51"/>
      <c r="B51"/>
      <c r="C51"/>
    </row>
    <row r="52" spans="1:3" ht="15">
      <c r="A52"/>
      <c r="B52"/>
      <c r="C52"/>
    </row>
    <row r="53" spans="1:3" ht="15">
      <c r="A53"/>
      <c r="B53"/>
      <c r="C53"/>
    </row>
    <row r="54" spans="1:3" ht="15">
      <c r="A54" s="39"/>
      <c r="B54" s="39"/>
    </row>
    <row r="55" spans="1:3" ht="15">
      <c r="A55" s="39"/>
      <c r="B55" s="39"/>
    </row>
    <row r="56" spans="1:3" ht="15">
      <c r="A56" s="39"/>
      <c r="B56" s="39"/>
    </row>
    <row r="57" spans="1:3" ht="15">
      <c r="A57" s="39"/>
      <c r="B57" s="39"/>
    </row>
    <row r="58" spans="1:3" ht="15">
      <c r="A58" s="39"/>
      <c r="B58" s="39"/>
    </row>
    <row r="59" spans="1:3" ht="15">
      <c r="A59" s="39"/>
      <c r="B59" s="39"/>
    </row>
    <row r="60" spans="1:3" ht="15">
      <c r="A60" s="39"/>
      <c r="B60" s="39"/>
    </row>
    <row r="61" spans="1:3">
      <c r="A61" s="168"/>
      <c r="B61" s="168"/>
    </row>
    <row r="62" spans="1:3">
      <c r="A62" s="168"/>
      <c r="B62" s="168"/>
    </row>
    <row r="63" spans="1:3">
      <c r="A63" s="168"/>
      <c r="B63" s="168"/>
    </row>
    <row r="64" spans="1:3">
      <c r="A64" s="168"/>
      <c r="B64" s="168"/>
    </row>
    <row r="65" spans="1:2">
      <c r="A65" s="168"/>
      <c r="B65" s="168"/>
    </row>
    <row r="66" spans="1:2">
      <c r="A66" s="168"/>
      <c r="B66" s="168"/>
    </row>
    <row r="67" spans="1:2">
      <c r="A67" s="168"/>
      <c r="B67" s="168"/>
    </row>
    <row r="68" spans="1:2">
      <c r="A68" s="168"/>
      <c r="B68" s="168"/>
    </row>
    <row r="69" spans="1:2">
      <c r="A69" s="168"/>
      <c r="B69" s="168"/>
    </row>
    <row r="70" spans="1:2">
      <c r="A70" s="168"/>
      <c r="B70" s="168"/>
    </row>
    <row r="71" spans="1:2">
      <c r="A71" s="168"/>
      <c r="B71" s="168"/>
    </row>
    <row r="72" spans="1:2">
      <c r="A72" s="168"/>
      <c r="B72" s="168"/>
    </row>
    <row r="73" spans="1:2">
      <c r="A73" s="168"/>
      <c r="B73" s="168"/>
    </row>
    <row r="74" spans="1:2">
      <c r="A74" s="168"/>
      <c r="B74" s="168"/>
    </row>
    <row r="75" spans="1:2">
      <c r="A75" s="168"/>
      <c r="B75" s="168"/>
    </row>
    <row r="76" spans="1:2">
      <c r="A76" s="168"/>
      <c r="B76" s="168"/>
    </row>
    <row r="77" spans="1:2">
      <c r="A77" s="168"/>
      <c r="B77" s="168"/>
    </row>
    <row r="78" spans="1:2">
      <c r="A78" s="168"/>
      <c r="B78" s="168"/>
    </row>
    <row r="79" spans="1:2">
      <c r="A79" s="168"/>
      <c r="B79" s="168"/>
    </row>
    <row r="80" spans="1:2">
      <c r="A80" s="168"/>
      <c r="B80" s="168"/>
    </row>
    <row r="81" spans="1:2">
      <c r="A81" s="168"/>
      <c r="B81" s="168"/>
    </row>
    <row r="82" spans="1:2">
      <c r="A82" s="168"/>
      <c r="B82" s="168"/>
    </row>
    <row r="83" spans="1:2">
      <c r="A83" s="168"/>
      <c r="B83" s="168"/>
    </row>
    <row r="84" spans="1:2">
      <c r="A84" s="168"/>
      <c r="B84" s="168"/>
    </row>
    <row r="85" spans="1:2">
      <c r="A85" s="168"/>
      <c r="B85" s="168"/>
    </row>
    <row r="86" spans="1:2">
      <c r="A86" s="168"/>
      <c r="B86" s="168"/>
    </row>
    <row r="87" spans="1:2">
      <c r="A87" s="168"/>
      <c r="B87" s="168"/>
    </row>
    <row r="88" spans="1:2">
      <c r="A88" s="168"/>
      <c r="B88" s="168"/>
    </row>
    <row r="89" spans="1:2">
      <c r="A89" s="168"/>
      <c r="B89" s="168"/>
    </row>
    <row r="90" spans="1:2">
      <c r="A90" s="168"/>
      <c r="B90" s="168"/>
    </row>
    <row r="91" spans="1:2">
      <c r="A91" s="168"/>
      <c r="B91" s="168"/>
    </row>
    <row r="92" spans="1:2">
      <c r="A92" s="168"/>
      <c r="B92" s="168"/>
    </row>
    <row r="93" spans="1:2">
      <c r="A93" s="168"/>
      <c r="B93" s="168"/>
    </row>
    <row r="94" spans="1:2">
      <c r="A94" s="168"/>
      <c r="B94" s="168"/>
    </row>
    <row r="95" spans="1:2">
      <c r="A95" s="168"/>
      <c r="B95" s="168"/>
    </row>
    <row r="96" spans="1:2">
      <c r="A96" s="168"/>
      <c r="B96" s="168"/>
    </row>
    <row r="97" spans="1:2">
      <c r="A97" s="168"/>
      <c r="B97" s="169"/>
    </row>
    <row r="98" spans="1:2">
      <c r="A98" s="168"/>
      <c r="B98" s="169"/>
    </row>
    <row r="99" spans="1:2">
      <c r="A99" s="168"/>
      <c r="B99" s="169"/>
    </row>
    <row r="100" spans="1:2">
      <c r="A100" s="168"/>
      <c r="B100" s="169"/>
    </row>
    <row r="101" spans="1:2">
      <c r="A101" s="168"/>
      <c r="B101" s="169"/>
    </row>
    <row r="102" spans="1:2">
      <c r="A102" s="168"/>
      <c r="B102" s="169"/>
    </row>
    <row r="103" spans="1:2">
      <c r="A103" s="168"/>
      <c r="B103" s="169"/>
    </row>
    <row r="104" spans="1:2">
      <c r="A104" s="168"/>
      <c r="B104" s="169"/>
    </row>
    <row r="105" spans="1:2">
      <c r="A105" s="168"/>
      <c r="B105" s="169"/>
    </row>
    <row r="106" spans="1:2">
      <c r="A106" s="168"/>
      <c r="B106" s="169"/>
    </row>
    <row r="107" spans="1:2">
      <c r="A107" s="168"/>
      <c r="B107" s="169"/>
    </row>
    <row r="108" spans="1:2">
      <c r="A108" s="168"/>
      <c r="B108" s="169"/>
    </row>
    <row r="109" spans="1:2">
      <c r="A109" s="168"/>
      <c r="B109" s="169"/>
    </row>
    <row r="110" spans="1:2">
      <c r="A110" s="168"/>
      <c r="B110" s="169"/>
    </row>
    <row r="111" spans="1:2">
      <c r="A111" s="168"/>
      <c r="B111" s="169"/>
    </row>
    <row r="112" spans="1:2">
      <c r="A112" s="168"/>
      <c r="B112" s="169"/>
    </row>
    <row r="113" spans="1:2">
      <c r="A113" s="168"/>
      <c r="B113" s="169"/>
    </row>
    <row r="114" spans="1:2">
      <c r="A114" s="168"/>
      <c r="B114" s="169"/>
    </row>
    <row r="115" spans="1:2">
      <c r="A115" s="168"/>
      <c r="B115" s="169"/>
    </row>
  </sheetData>
  <mergeCells count="1">
    <mergeCell ref="C5:C10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A407D-8811-48AE-A080-D83A89E9C398}">
  <sheetPr codeName="Planilha17"/>
  <dimension ref="A1:CJ316"/>
  <sheetViews>
    <sheetView showGridLines="0" showRowColHeaders="0" showZeros="0" workbookViewId="0">
      <pane ySplit="6" topLeftCell="A37" activePane="bottomLeft" state="frozen"/>
      <selection pane="bottomLeft"/>
    </sheetView>
  </sheetViews>
  <sheetFormatPr defaultRowHeight="18.75"/>
  <cols>
    <col min="1" max="1" width="22.5703125" style="162" bestFit="1" customWidth="1"/>
    <col min="2" max="2" width="20.140625" style="162" bestFit="1" customWidth="1"/>
    <col min="3" max="3" width="20.140625" style="39" bestFit="1" customWidth="1"/>
    <col min="4" max="88" width="9.140625" style="39"/>
  </cols>
  <sheetData>
    <row r="1" spans="1:3">
      <c r="A1" s="180" t="s">
        <v>157</v>
      </c>
      <c r="B1" s="162" t="s">
        <v>162</v>
      </c>
    </row>
    <row r="2" spans="1:3">
      <c r="A2" s="180" t="s">
        <v>17</v>
      </c>
      <c r="B2" s="162" t="s">
        <v>98</v>
      </c>
    </row>
    <row r="3" spans="1:3">
      <c r="A3" s="180" t="s">
        <v>7</v>
      </c>
      <c r="B3" s="162" t="s">
        <v>162</v>
      </c>
    </row>
    <row r="4" spans="1:3">
      <c r="A4" s="180" t="s">
        <v>9</v>
      </c>
      <c r="B4" s="162" t="s">
        <v>162</v>
      </c>
    </row>
    <row r="6" spans="1:3">
      <c r="A6" s="180" t="s">
        <v>85</v>
      </c>
      <c r="B6" s="162" t="s">
        <v>171</v>
      </c>
      <c r="C6"/>
    </row>
    <row r="7" spans="1:3">
      <c r="A7" s="181" t="s">
        <v>98</v>
      </c>
      <c r="C7"/>
    </row>
    <row r="8" spans="1:3">
      <c r="A8" s="181" t="s">
        <v>86</v>
      </c>
      <c r="C8"/>
    </row>
    <row r="9" spans="1:3" ht="15">
      <c r="A9"/>
      <c r="B9"/>
      <c r="C9"/>
    </row>
    <row r="10" spans="1:3" ht="15">
      <c r="A10"/>
      <c r="B10"/>
      <c r="C10"/>
    </row>
    <row r="11" spans="1:3" ht="15">
      <c r="A11"/>
      <c r="B11"/>
      <c r="C11"/>
    </row>
    <row r="12" spans="1:3" ht="15">
      <c r="A12"/>
      <c r="B12"/>
      <c r="C12"/>
    </row>
    <row r="13" spans="1:3" ht="15">
      <c r="A13"/>
      <c r="B13"/>
      <c r="C13"/>
    </row>
    <row r="14" spans="1:3" ht="15">
      <c r="A14"/>
      <c r="B14"/>
      <c r="C14"/>
    </row>
    <row r="15" spans="1:3" ht="15">
      <c r="A15"/>
      <c r="B15"/>
      <c r="C15"/>
    </row>
    <row r="16" spans="1:3" ht="15">
      <c r="A16"/>
      <c r="B16"/>
    </row>
    <row r="17" spans="1:2" ht="15">
      <c r="A17"/>
      <c r="B17"/>
    </row>
    <row r="18" spans="1:2" ht="15">
      <c r="A18"/>
      <c r="B18"/>
    </row>
    <row r="19" spans="1:2" ht="15">
      <c r="A19"/>
      <c r="B19"/>
    </row>
    <row r="20" spans="1:2" ht="15">
      <c r="A20"/>
      <c r="B20"/>
    </row>
    <row r="21" spans="1:2" ht="15">
      <c r="A21"/>
      <c r="B21"/>
    </row>
    <row r="22" spans="1:2" ht="15">
      <c r="A22"/>
      <c r="B22"/>
    </row>
    <row r="23" spans="1:2" ht="15">
      <c r="A23"/>
      <c r="B23"/>
    </row>
    <row r="24" spans="1:2" ht="15">
      <c r="A24"/>
      <c r="B24"/>
    </row>
    <row r="25" spans="1:2" ht="15">
      <c r="A25"/>
      <c r="B25"/>
    </row>
    <row r="26" spans="1:2" ht="15">
      <c r="A26"/>
      <c r="B26"/>
    </row>
    <row r="27" spans="1:2" ht="15">
      <c r="A27"/>
      <c r="B27"/>
    </row>
    <row r="28" spans="1:2" ht="15">
      <c r="A28"/>
      <c r="B28"/>
    </row>
    <row r="29" spans="1:2" ht="15">
      <c r="A29"/>
      <c r="B29"/>
    </row>
    <row r="30" spans="1:2" ht="15">
      <c r="A30"/>
      <c r="B30"/>
    </row>
    <row r="31" spans="1:2" ht="15">
      <c r="A31"/>
      <c r="B31"/>
    </row>
    <row r="32" spans="1:2" ht="15">
      <c r="A32"/>
      <c r="B32"/>
    </row>
    <row r="33" spans="1:2" ht="15">
      <c r="A33"/>
      <c r="B33"/>
    </row>
    <row r="34" spans="1:2" ht="15">
      <c r="A34"/>
      <c r="B34"/>
    </row>
    <row r="35" spans="1:2" ht="15">
      <c r="A35"/>
      <c r="B35"/>
    </row>
    <row r="36" spans="1:2" ht="15">
      <c r="A36"/>
      <c r="B36"/>
    </row>
    <row r="37" spans="1:2" ht="15">
      <c r="A37"/>
      <c r="B37"/>
    </row>
    <row r="38" spans="1:2" ht="15">
      <c r="A38"/>
      <c r="B38"/>
    </row>
    <row r="39" spans="1:2" ht="15">
      <c r="A39"/>
      <c r="B39"/>
    </row>
    <row r="40" spans="1:2" ht="15">
      <c r="A40"/>
      <c r="B40"/>
    </row>
    <row r="41" spans="1:2" ht="15">
      <c r="A41"/>
      <c r="B41"/>
    </row>
    <row r="42" spans="1:2" ht="15">
      <c r="A42"/>
      <c r="B42"/>
    </row>
    <row r="43" spans="1:2" ht="15">
      <c r="A43"/>
      <c r="B43"/>
    </row>
    <row r="44" spans="1:2" ht="15">
      <c r="A44"/>
      <c r="B44"/>
    </row>
    <row r="45" spans="1:2" ht="15">
      <c r="A45"/>
      <c r="B45"/>
    </row>
    <row r="46" spans="1:2" ht="15">
      <c r="A46"/>
      <c r="B46"/>
    </row>
    <row r="47" spans="1:2" ht="15">
      <c r="A47"/>
      <c r="B47"/>
    </row>
    <row r="48" spans="1:2" ht="15">
      <c r="A48"/>
      <c r="B48"/>
    </row>
    <row r="49" spans="1:2" ht="15">
      <c r="A49"/>
      <c r="B49"/>
    </row>
    <row r="50" spans="1:2" ht="15">
      <c r="A50"/>
      <c r="B50"/>
    </row>
    <row r="51" spans="1:2" ht="15">
      <c r="A51"/>
      <c r="B51"/>
    </row>
    <row r="52" spans="1:2" ht="15">
      <c r="A52"/>
      <c r="B52"/>
    </row>
    <row r="53" spans="1:2" ht="15">
      <c r="A53"/>
      <c r="B53"/>
    </row>
    <row r="54" spans="1:2" ht="15">
      <c r="A54"/>
      <c r="B54"/>
    </row>
    <row r="55" spans="1:2" ht="15">
      <c r="A55"/>
      <c r="B55"/>
    </row>
    <row r="56" spans="1:2" ht="15">
      <c r="A56"/>
      <c r="B56"/>
    </row>
    <row r="57" spans="1:2" ht="15">
      <c r="A57"/>
      <c r="B57"/>
    </row>
    <row r="58" spans="1:2" ht="15">
      <c r="A58"/>
      <c r="B58"/>
    </row>
    <row r="59" spans="1:2" ht="15">
      <c r="A59"/>
      <c r="B59"/>
    </row>
    <row r="60" spans="1:2" ht="15">
      <c r="A60"/>
      <c r="B60"/>
    </row>
    <row r="61" spans="1:2" ht="15">
      <c r="A61"/>
      <c r="B61"/>
    </row>
    <row r="62" spans="1:2">
      <c r="A62" s="168"/>
      <c r="B62" s="168"/>
    </row>
    <row r="63" spans="1:2">
      <c r="A63" s="168"/>
      <c r="B63" s="168"/>
    </row>
    <row r="64" spans="1:2">
      <c r="A64" s="168"/>
      <c r="B64" s="168"/>
    </row>
    <row r="65" spans="1:2">
      <c r="A65" s="168"/>
      <c r="B65" s="168"/>
    </row>
    <row r="66" spans="1:2">
      <c r="A66" s="168"/>
      <c r="B66" s="168"/>
    </row>
    <row r="67" spans="1:2">
      <c r="A67" s="168"/>
      <c r="B67" s="168"/>
    </row>
    <row r="68" spans="1:2">
      <c r="A68" s="168"/>
      <c r="B68" s="168"/>
    </row>
    <row r="69" spans="1:2">
      <c r="A69" s="168"/>
      <c r="B69" s="168"/>
    </row>
    <row r="70" spans="1:2">
      <c r="A70" s="168"/>
      <c r="B70" s="168"/>
    </row>
    <row r="71" spans="1:2">
      <c r="A71" s="168"/>
      <c r="B71" s="168"/>
    </row>
    <row r="72" spans="1:2">
      <c r="A72" s="168"/>
      <c r="B72" s="168"/>
    </row>
    <row r="73" spans="1:2">
      <c r="A73" s="168"/>
      <c r="B73" s="168"/>
    </row>
    <row r="74" spans="1:2">
      <c r="A74" s="168"/>
      <c r="B74" s="168"/>
    </row>
    <row r="75" spans="1:2">
      <c r="A75" s="168"/>
      <c r="B75" s="168"/>
    </row>
    <row r="76" spans="1:2">
      <c r="A76" s="168"/>
      <c r="B76" s="168"/>
    </row>
    <row r="77" spans="1:2">
      <c r="A77" s="168"/>
      <c r="B77" s="168"/>
    </row>
    <row r="78" spans="1:2">
      <c r="A78" s="168"/>
      <c r="B78" s="168"/>
    </row>
    <row r="79" spans="1:2">
      <c r="A79" s="168"/>
      <c r="B79" s="168"/>
    </row>
    <row r="80" spans="1:2">
      <c r="A80" s="168"/>
      <c r="B80" s="168"/>
    </row>
    <row r="81" spans="1:2">
      <c r="A81" s="168"/>
      <c r="B81" s="168"/>
    </row>
    <row r="82" spans="1:2">
      <c r="A82" s="168"/>
      <c r="B82" s="168"/>
    </row>
    <row r="83" spans="1:2">
      <c r="A83" s="168"/>
      <c r="B83" s="168"/>
    </row>
    <row r="84" spans="1:2">
      <c r="A84" s="168"/>
      <c r="B84" s="168"/>
    </row>
    <row r="85" spans="1:2">
      <c r="A85" s="168"/>
      <c r="B85" s="168"/>
    </row>
    <row r="86" spans="1:2">
      <c r="A86" s="168"/>
      <c r="B86" s="168"/>
    </row>
    <row r="87" spans="1:2">
      <c r="A87" s="168"/>
      <c r="B87" s="168"/>
    </row>
    <row r="88" spans="1:2">
      <c r="A88" s="168"/>
      <c r="B88" s="168"/>
    </row>
    <row r="89" spans="1:2">
      <c r="A89" s="168"/>
      <c r="B89" s="168"/>
    </row>
    <row r="90" spans="1:2">
      <c r="A90" s="168"/>
      <c r="B90" s="168"/>
    </row>
    <row r="91" spans="1:2">
      <c r="A91" s="168"/>
      <c r="B91" s="168"/>
    </row>
    <row r="92" spans="1:2">
      <c r="A92" s="168"/>
      <c r="B92" s="168"/>
    </row>
    <row r="93" spans="1:2">
      <c r="A93" s="168"/>
      <c r="B93" s="168"/>
    </row>
    <row r="94" spans="1:2">
      <c r="A94" s="168"/>
      <c r="B94" s="168"/>
    </row>
    <row r="95" spans="1:2">
      <c r="A95" s="168"/>
      <c r="B95" s="168"/>
    </row>
    <row r="96" spans="1:2">
      <c r="A96" s="168"/>
      <c r="B96" s="168"/>
    </row>
    <row r="97" spans="1:2">
      <c r="A97" s="168"/>
      <c r="B97" s="168"/>
    </row>
    <row r="98" spans="1:2">
      <c r="A98" s="168"/>
      <c r="B98" s="168"/>
    </row>
    <row r="99" spans="1:2">
      <c r="A99" s="168"/>
      <c r="B99" s="168"/>
    </row>
    <row r="100" spans="1:2">
      <c r="A100" s="168"/>
      <c r="B100" s="168"/>
    </row>
    <row r="101" spans="1:2">
      <c r="A101" s="168"/>
      <c r="B101" s="168"/>
    </row>
    <row r="102" spans="1:2">
      <c r="A102" s="168"/>
      <c r="B102" s="168"/>
    </row>
    <row r="103" spans="1:2">
      <c r="A103" s="168"/>
      <c r="B103" s="168"/>
    </row>
    <row r="104" spans="1:2">
      <c r="A104" s="168"/>
      <c r="B104" s="168"/>
    </row>
    <row r="105" spans="1:2">
      <c r="A105" s="168"/>
      <c r="B105" s="168"/>
    </row>
    <row r="106" spans="1:2">
      <c r="A106" s="168"/>
      <c r="B106" s="168"/>
    </row>
    <row r="107" spans="1:2">
      <c r="A107" s="168"/>
      <c r="B107" s="168"/>
    </row>
    <row r="108" spans="1:2">
      <c r="A108" s="168"/>
      <c r="B108" s="168"/>
    </row>
    <row r="109" spans="1:2">
      <c r="A109" s="168"/>
      <c r="B109" s="168"/>
    </row>
    <row r="110" spans="1:2">
      <c r="A110" s="168"/>
      <c r="B110" s="168"/>
    </row>
    <row r="111" spans="1:2">
      <c r="A111" s="168"/>
      <c r="B111" s="168"/>
    </row>
    <row r="112" spans="1:2">
      <c r="A112" s="168"/>
      <c r="B112" s="168"/>
    </row>
    <row r="113" spans="1:2">
      <c r="A113" s="168"/>
      <c r="B113" s="168"/>
    </row>
    <row r="114" spans="1:2">
      <c r="A114" s="168"/>
      <c r="B114" s="168"/>
    </row>
    <row r="115" spans="1:2">
      <c r="A115" s="168"/>
      <c r="B115" s="168"/>
    </row>
    <row r="116" spans="1:2">
      <c r="A116" s="168"/>
      <c r="B116" s="168"/>
    </row>
    <row r="117" spans="1:2">
      <c r="A117" s="168"/>
      <c r="B117" s="168"/>
    </row>
    <row r="118" spans="1:2">
      <c r="A118" s="168"/>
      <c r="B118" s="168"/>
    </row>
    <row r="119" spans="1:2">
      <c r="A119" s="168"/>
      <c r="B119" s="168"/>
    </row>
    <row r="120" spans="1:2">
      <c r="A120" s="168"/>
      <c r="B120" s="168"/>
    </row>
    <row r="121" spans="1:2">
      <c r="A121" s="168"/>
      <c r="B121" s="168"/>
    </row>
    <row r="122" spans="1:2">
      <c r="A122" s="168"/>
      <c r="B122" s="168"/>
    </row>
    <row r="123" spans="1:2">
      <c r="A123" s="168"/>
      <c r="B123" s="168"/>
    </row>
    <row r="124" spans="1:2">
      <c r="A124" s="168"/>
      <c r="B124" s="168"/>
    </row>
    <row r="125" spans="1:2">
      <c r="A125" s="168"/>
      <c r="B125" s="168"/>
    </row>
    <row r="126" spans="1:2">
      <c r="A126" s="168"/>
      <c r="B126" s="168"/>
    </row>
    <row r="127" spans="1:2">
      <c r="A127" s="168"/>
      <c r="B127" s="168"/>
    </row>
    <row r="128" spans="1:2">
      <c r="A128" s="168"/>
      <c r="B128" s="168"/>
    </row>
    <row r="129" spans="1:2">
      <c r="A129" s="168"/>
      <c r="B129" s="168"/>
    </row>
    <row r="130" spans="1:2">
      <c r="A130" s="168"/>
      <c r="B130" s="168"/>
    </row>
    <row r="131" spans="1:2">
      <c r="A131" s="168"/>
      <c r="B131" s="168"/>
    </row>
    <row r="132" spans="1:2">
      <c r="A132" s="168"/>
      <c r="B132" s="168"/>
    </row>
    <row r="133" spans="1:2">
      <c r="A133" s="168"/>
      <c r="B133" s="168"/>
    </row>
    <row r="134" spans="1:2">
      <c r="A134" s="168"/>
      <c r="B134" s="168"/>
    </row>
    <row r="135" spans="1:2">
      <c r="A135" s="168"/>
      <c r="B135" s="168"/>
    </row>
    <row r="136" spans="1:2">
      <c r="A136" s="168"/>
      <c r="B136" s="168"/>
    </row>
    <row r="137" spans="1:2">
      <c r="A137" s="168"/>
      <c r="B137" s="168"/>
    </row>
    <row r="138" spans="1:2">
      <c r="A138" s="168"/>
      <c r="B138" s="168"/>
    </row>
    <row r="139" spans="1:2">
      <c r="A139" s="168"/>
      <c r="B139" s="168"/>
    </row>
    <row r="140" spans="1:2">
      <c r="A140" s="168"/>
      <c r="B140" s="168"/>
    </row>
    <row r="141" spans="1:2">
      <c r="A141" s="168"/>
      <c r="B141" s="168"/>
    </row>
    <row r="142" spans="1:2">
      <c r="A142" s="168"/>
      <c r="B142" s="168"/>
    </row>
    <row r="143" spans="1:2">
      <c r="A143" s="168"/>
      <c r="B143" s="168"/>
    </row>
    <row r="144" spans="1:2">
      <c r="A144" s="168"/>
      <c r="B144" s="168"/>
    </row>
    <row r="145" spans="1:2">
      <c r="A145" s="168"/>
      <c r="B145" s="168"/>
    </row>
    <row r="146" spans="1:2">
      <c r="A146" s="168"/>
      <c r="B146" s="168"/>
    </row>
    <row r="147" spans="1:2">
      <c r="A147" s="168"/>
      <c r="B147" s="168"/>
    </row>
    <row r="148" spans="1:2">
      <c r="A148" s="168"/>
      <c r="B148" s="168"/>
    </row>
    <row r="149" spans="1:2">
      <c r="A149" s="168"/>
      <c r="B149" s="168"/>
    </row>
    <row r="150" spans="1:2">
      <c r="A150" s="168"/>
      <c r="B150" s="168"/>
    </row>
    <row r="151" spans="1:2">
      <c r="A151" s="168"/>
      <c r="B151" s="168"/>
    </row>
    <row r="152" spans="1:2">
      <c r="A152" s="168"/>
      <c r="B152" s="168"/>
    </row>
    <row r="153" spans="1:2">
      <c r="A153" s="168"/>
      <c r="B153" s="168"/>
    </row>
    <row r="154" spans="1:2">
      <c r="A154" s="168"/>
      <c r="B154" s="168"/>
    </row>
    <row r="155" spans="1:2">
      <c r="A155" s="168"/>
      <c r="B155" s="168"/>
    </row>
    <row r="156" spans="1:2">
      <c r="A156" s="168"/>
      <c r="B156" s="168"/>
    </row>
    <row r="157" spans="1:2">
      <c r="A157" s="168"/>
      <c r="B157" s="168"/>
    </row>
    <row r="158" spans="1:2">
      <c r="A158" s="168"/>
      <c r="B158" s="168"/>
    </row>
    <row r="159" spans="1:2">
      <c r="A159" s="168"/>
      <c r="B159" s="168"/>
    </row>
    <row r="160" spans="1:2">
      <c r="A160" s="168"/>
      <c r="B160" s="168"/>
    </row>
    <row r="161" spans="1:2">
      <c r="A161" s="168"/>
      <c r="B161" s="168"/>
    </row>
    <row r="162" spans="1:2">
      <c r="A162" s="168"/>
      <c r="B162" s="168"/>
    </row>
    <row r="163" spans="1:2">
      <c r="A163" s="168"/>
      <c r="B163" s="168"/>
    </row>
    <row r="164" spans="1:2">
      <c r="A164" s="168"/>
      <c r="B164" s="168"/>
    </row>
    <row r="165" spans="1:2">
      <c r="A165" s="168"/>
      <c r="B165" s="168"/>
    </row>
    <row r="166" spans="1:2">
      <c r="A166" s="168"/>
      <c r="B166" s="168"/>
    </row>
    <row r="167" spans="1:2">
      <c r="A167" s="168"/>
      <c r="B167" s="168"/>
    </row>
    <row r="168" spans="1:2">
      <c r="A168" s="168"/>
      <c r="B168" s="168"/>
    </row>
    <row r="169" spans="1:2">
      <c r="A169" s="168"/>
      <c r="B169" s="168"/>
    </row>
    <row r="170" spans="1:2">
      <c r="A170" s="168"/>
      <c r="B170" s="168"/>
    </row>
    <row r="171" spans="1:2">
      <c r="A171" s="168"/>
      <c r="B171" s="168"/>
    </row>
    <row r="172" spans="1:2">
      <c r="A172" s="168"/>
      <c r="B172" s="168"/>
    </row>
    <row r="173" spans="1:2">
      <c r="A173" s="168"/>
      <c r="B173" s="168"/>
    </row>
    <row r="174" spans="1:2">
      <c r="A174" s="168"/>
      <c r="B174" s="168"/>
    </row>
    <row r="175" spans="1:2">
      <c r="A175" s="168"/>
      <c r="B175" s="168"/>
    </row>
    <row r="176" spans="1:2">
      <c r="A176" s="168"/>
      <c r="B176" s="168"/>
    </row>
    <row r="177" spans="1:2">
      <c r="A177" s="168"/>
      <c r="B177" s="168"/>
    </row>
    <row r="178" spans="1:2">
      <c r="A178" s="168"/>
      <c r="B178" s="168"/>
    </row>
    <row r="179" spans="1:2">
      <c r="A179" s="168"/>
      <c r="B179" s="168"/>
    </row>
    <row r="180" spans="1:2">
      <c r="A180" s="168"/>
      <c r="B180" s="168"/>
    </row>
    <row r="181" spans="1:2">
      <c r="A181" s="168"/>
      <c r="B181" s="168"/>
    </row>
    <row r="182" spans="1:2">
      <c r="A182" s="168"/>
      <c r="B182" s="168"/>
    </row>
    <row r="183" spans="1:2">
      <c r="A183" s="168"/>
      <c r="B183" s="168"/>
    </row>
    <row r="184" spans="1:2">
      <c r="A184" s="168"/>
      <c r="B184" s="168"/>
    </row>
    <row r="185" spans="1:2">
      <c r="A185" s="168"/>
      <c r="B185" s="168"/>
    </row>
    <row r="186" spans="1:2">
      <c r="A186" s="168"/>
      <c r="B186" s="168"/>
    </row>
    <row r="187" spans="1:2">
      <c r="A187" s="168"/>
      <c r="B187" s="168"/>
    </row>
    <row r="188" spans="1:2">
      <c r="A188" s="168"/>
      <c r="B188" s="168"/>
    </row>
    <row r="189" spans="1:2">
      <c r="A189" s="168"/>
      <c r="B189" s="168"/>
    </row>
    <row r="190" spans="1:2">
      <c r="A190" s="168"/>
      <c r="B190" s="168"/>
    </row>
    <row r="191" spans="1:2">
      <c r="A191" s="168"/>
      <c r="B191" s="168"/>
    </row>
    <row r="192" spans="1:2">
      <c r="A192" s="168"/>
      <c r="B192" s="168"/>
    </row>
    <row r="193" spans="1:2">
      <c r="A193" s="168"/>
      <c r="B193" s="168"/>
    </row>
    <row r="194" spans="1:2">
      <c r="A194" s="168"/>
      <c r="B194" s="168"/>
    </row>
    <row r="195" spans="1:2">
      <c r="A195" s="168"/>
      <c r="B195" s="168"/>
    </row>
    <row r="196" spans="1:2">
      <c r="A196" s="168"/>
      <c r="B196" s="168"/>
    </row>
    <row r="197" spans="1:2">
      <c r="A197" s="168"/>
      <c r="B197" s="168"/>
    </row>
    <row r="198" spans="1:2">
      <c r="A198" s="168"/>
      <c r="B198" s="168"/>
    </row>
    <row r="199" spans="1:2">
      <c r="A199" s="168"/>
      <c r="B199" s="168"/>
    </row>
    <row r="200" spans="1:2">
      <c r="A200" s="168"/>
      <c r="B200" s="168"/>
    </row>
    <row r="201" spans="1:2">
      <c r="A201" s="168"/>
      <c r="B201" s="168"/>
    </row>
    <row r="202" spans="1:2">
      <c r="A202" s="168"/>
      <c r="B202" s="168"/>
    </row>
    <row r="203" spans="1:2">
      <c r="A203" s="168"/>
      <c r="B203" s="168"/>
    </row>
    <row r="204" spans="1:2">
      <c r="A204" s="168"/>
      <c r="B204" s="168"/>
    </row>
    <row r="205" spans="1:2">
      <c r="A205" s="168"/>
      <c r="B205" s="168"/>
    </row>
    <row r="206" spans="1:2">
      <c r="A206" s="168"/>
      <c r="B206" s="168"/>
    </row>
    <row r="207" spans="1:2">
      <c r="A207" s="168"/>
      <c r="B207" s="168"/>
    </row>
    <row r="208" spans="1:2">
      <c r="A208" s="168"/>
      <c r="B208" s="168"/>
    </row>
    <row r="209" spans="1:2">
      <c r="A209" s="168"/>
      <c r="B209" s="168"/>
    </row>
    <row r="210" spans="1:2">
      <c r="A210" s="168"/>
      <c r="B210" s="168"/>
    </row>
    <row r="211" spans="1:2">
      <c r="A211" s="168"/>
      <c r="B211" s="168"/>
    </row>
    <row r="212" spans="1:2">
      <c r="A212" s="168"/>
      <c r="B212" s="168"/>
    </row>
    <row r="213" spans="1:2">
      <c r="A213" s="168"/>
      <c r="B213" s="168"/>
    </row>
    <row r="214" spans="1:2">
      <c r="A214" s="168"/>
      <c r="B214" s="168"/>
    </row>
    <row r="215" spans="1:2">
      <c r="A215" s="168"/>
      <c r="B215" s="168"/>
    </row>
    <row r="216" spans="1:2">
      <c r="A216" s="168"/>
      <c r="B216" s="168"/>
    </row>
    <row r="217" spans="1:2">
      <c r="A217" s="168"/>
      <c r="B217" s="168"/>
    </row>
    <row r="218" spans="1:2">
      <c r="A218" s="168"/>
      <c r="B218" s="168"/>
    </row>
    <row r="219" spans="1:2">
      <c r="A219" s="168"/>
      <c r="B219" s="168"/>
    </row>
    <row r="220" spans="1:2">
      <c r="A220" s="168"/>
      <c r="B220" s="168"/>
    </row>
    <row r="221" spans="1:2">
      <c r="A221" s="168"/>
      <c r="B221" s="168"/>
    </row>
    <row r="222" spans="1:2">
      <c r="A222" s="168"/>
      <c r="B222" s="168"/>
    </row>
    <row r="223" spans="1:2">
      <c r="A223" s="168"/>
      <c r="B223" s="168"/>
    </row>
    <row r="224" spans="1:2">
      <c r="A224" s="168"/>
      <c r="B224" s="168"/>
    </row>
    <row r="225" spans="1:2">
      <c r="A225" s="168"/>
      <c r="B225" s="168"/>
    </row>
    <row r="226" spans="1:2">
      <c r="A226" s="168"/>
      <c r="B226" s="168"/>
    </row>
    <row r="227" spans="1:2">
      <c r="A227" s="168"/>
      <c r="B227" s="168"/>
    </row>
    <row r="228" spans="1:2">
      <c r="A228" s="168"/>
      <c r="B228" s="168"/>
    </row>
    <row r="229" spans="1:2">
      <c r="A229" s="168"/>
      <c r="B229" s="168"/>
    </row>
    <row r="230" spans="1:2">
      <c r="A230" s="168"/>
      <c r="B230" s="168"/>
    </row>
    <row r="231" spans="1:2">
      <c r="A231" s="168"/>
      <c r="B231" s="168"/>
    </row>
    <row r="232" spans="1:2">
      <c r="A232" s="168"/>
      <c r="B232" s="168"/>
    </row>
    <row r="233" spans="1:2">
      <c r="A233" s="168"/>
      <c r="B233" s="168"/>
    </row>
    <row r="234" spans="1:2">
      <c r="A234" s="168"/>
      <c r="B234" s="168"/>
    </row>
    <row r="235" spans="1:2">
      <c r="A235" s="168"/>
      <c r="B235" s="168"/>
    </row>
    <row r="236" spans="1:2">
      <c r="A236" s="168"/>
      <c r="B236" s="168"/>
    </row>
    <row r="237" spans="1:2">
      <c r="A237" s="168"/>
      <c r="B237" s="168"/>
    </row>
    <row r="238" spans="1:2">
      <c r="A238" s="168"/>
      <c r="B238" s="168"/>
    </row>
    <row r="239" spans="1:2">
      <c r="A239" s="168"/>
      <c r="B239" s="168"/>
    </row>
    <row r="240" spans="1:2">
      <c r="A240" s="168"/>
      <c r="B240" s="168"/>
    </row>
    <row r="241" spans="1:2">
      <c r="A241" s="168"/>
      <c r="B241" s="168"/>
    </row>
    <row r="242" spans="1:2">
      <c r="A242" s="168"/>
      <c r="B242" s="168"/>
    </row>
    <row r="243" spans="1:2">
      <c r="A243" s="168"/>
      <c r="B243" s="168"/>
    </row>
    <row r="244" spans="1:2">
      <c r="A244" s="168"/>
      <c r="B244" s="168"/>
    </row>
    <row r="245" spans="1:2">
      <c r="A245" s="168"/>
      <c r="B245" s="168"/>
    </row>
    <row r="246" spans="1:2">
      <c r="A246" s="168"/>
      <c r="B246" s="168"/>
    </row>
    <row r="247" spans="1:2">
      <c r="A247" s="168"/>
      <c r="B247" s="168"/>
    </row>
    <row r="248" spans="1:2">
      <c r="A248" s="168"/>
      <c r="B248" s="168"/>
    </row>
    <row r="249" spans="1:2">
      <c r="A249" s="168"/>
      <c r="B249" s="168"/>
    </row>
    <row r="250" spans="1:2">
      <c r="A250" s="168"/>
      <c r="B250" s="168"/>
    </row>
    <row r="251" spans="1:2">
      <c r="A251" s="168"/>
      <c r="B251" s="168"/>
    </row>
    <row r="252" spans="1:2">
      <c r="A252" s="168"/>
      <c r="B252" s="168"/>
    </row>
    <row r="253" spans="1:2">
      <c r="A253" s="168"/>
      <c r="B253" s="168"/>
    </row>
    <row r="254" spans="1:2">
      <c r="A254" s="168"/>
      <c r="B254" s="168"/>
    </row>
    <row r="255" spans="1:2">
      <c r="A255" s="168"/>
      <c r="B255" s="168"/>
    </row>
    <row r="256" spans="1:2">
      <c r="A256" s="168"/>
      <c r="B256" s="168"/>
    </row>
    <row r="257" spans="1:2">
      <c r="A257" s="168"/>
      <c r="B257" s="168"/>
    </row>
    <row r="258" spans="1:2">
      <c r="A258" s="168"/>
      <c r="B258" s="168"/>
    </row>
    <row r="259" spans="1:2">
      <c r="A259" s="168"/>
      <c r="B259" s="168"/>
    </row>
    <row r="260" spans="1:2">
      <c r="A260" s="168"/>
      <c r="B260" s="168"/>
    </row>
    <row r="261" spans="1:2">
      <c r="A261" s="168"/>
      <c r="B261" s="168"/>
    </row>
    <row r="262" spans="1:2">
      <c r="A262" s="168"/>
      <c r="B262" s="168"/>
    </row>
    <row r="263" spans="1:2">
      <c r="A263" s="168"/>
      <c r="B263" s="168"/>
    </row>
    <row r="264" spans="1:2">
      <c r="A264" s="168"/>
      <c r="B264" s="168"/>
    </row>
    <row r="265" spans="1:2">
      <c r="A265" s="168"/>
      <c r="B265" s="168"/>
    </row>
    <row r="266" spans="1:2">
      <c r="A266" s="168"/>
      <c r="B266" s="168"/>
    </row>
    <row r="267" spans="1:2">
      <c r="A267" s="168"/>
      <c r="B267" s="168"/>
    </row>
    <row r="268" spans="1:2">
      <c r="A268" s="168"/>
      <c r="B268" s="168"/>
    </row>
    <row r="269" spans="1:2">
      <c r="A269" s="168"/>
      <c r="B269" s="168"/>
    </row>
    <row r="270" spans="1:2">
      <c r="A270" s="168"/>
      <c r="B270" s="168"/>
    </row>
    <row r="271" spans="1:2">
      <c r="A271" s="168"/>
      <c r="B271" s="168"/>
    </row>
    <row r="272" spans="1:2">
      <c r="A272" s="168"/>
      <c r="B272" s="168"/>
    </row>
    <row r="273" spans="1:2">
      <c r="A273" s="168"/>
      <c r="B273" s="168"/>
    </row>
    <row r="274" spans="1:2">
      <c r="A274" s="168"/>
      <c r="B274" s="168"/>
    </row>
    <row r="275" spans="1:2">
      <c r="A275" s="168"/>
      <c r="B275" s="168"/>
    </row>
    <row r="276" spans="1:2">
      <c r="A276" s="168"/>
      <c r="B276" s="168"/>
    </row>
    <row r="277" spans="1:2">
      <c r="A277" s="168"/>
      <c r="B277" s="168"/>
    </row>
    <row r="278" spans="1:2">
      <c r="A278" s="168"/>
      <c r="B278" s="168"/>
    </row>
    <row r="279" spans="1:2">
      <c r="A279" s="168"/>
      <c r="B279" s="168"/>
    </row>
    <row r="280" spans="1:2">
      <c r="A280" s="168"/>
      <c r="B280" s="168"/>
    </row>
    <row r="281" spans="1:2">
      <c r="A281" s="168"/>
      <c r="B281" s="168"/>
    </row>
    <row r="282" spans="1:2">
      <c r="A282" s="168"/>
      <c r="B282" s="168"/>
    </row>
    <row r="283" spans="1:2">
      <c r="A283" s="168"/>
      <c r="B283" s="168"/>
    </row>
    <row r="284" spans="1:2">
      <c r="A284" s="168"/>
      <c r="B284" s="168"/>
    </row>
    <row r="285" spans="1:2">
      <c r="A285" s="168"/>
      <c r="B285" s="168"/>
    </row>
    <row r="286" spans="1:2">
      <c r="A286" s="168"/>
      <c r="B286" s="168"/>
    </row>
    <row r="287" spans="1:2">
      <c r="A287" s="168"/>
      <c r="B287" s="168"/>
    </row>
    <row r="288" spans="1:2">
      <c r="A288" s="168"/>
      <c r="B288" s="168"/>
    </row>
    <row r="289" spans="1:2">
      <c r="A289" s="168"/>
      <c r="B289" s="168"/>
    </row>
    <row r="290" spans="1:2">
      <c r="A290" s="168"/>
      <c r="B290" s="168"/>
    </row>
    <row r="291" spans="1:2">
      <c r="A291" s="168"/>
      <c r="B291" s="168"/>
    </row>
    <row r="292" spans="1:2">
      <c r="A292" s="168"/>
      <c r="B292" s="168"/>
    </row>
    <row r="293" spans="1:2">
      <c r="A293" s="168"/>
      <c r="B293" s="168"/>
    </row>
    <row r="294" spans="1:2">
      <c r="A294" s="168"/>
      <c r="B294" s="168"/>
    </row>
    <row r="295" spans="1:2">
      <c r="A295" s="168"/>
      <c r="B295" s="168"/>
    </row>
    <row r="296" spans="1:2">
      <c r="A296" s="168"/>
      <c r="B296" s="168"/>
    </row>
    <row r="297" spans="1:2">
      <c r="A297" s="168"/>
      <c r="B297" s="168"/>
    </row>
    <row r="298" spans="1:2">
      <c r="A298" s="168"/>
      <c r="B298" s="168"/>
    </row>
    <row r="299" spans="1:2">
      <c r="A299" s="168"/>
      <c r="B299" s="168"/>
    </row>
    <row r="300" spans="1:2">
      <c r="A300" s="168"/>
      <c r="B300" s="168"/>
    </row>
    <row r="301" spans="1:2">
      <c r="A301" s="168"/>
      <c r="B301" s="168"/>
    </row>
    <row r="302" spans="1:2">
      <c r="A302" s="168"/>
      <c r="B302" s="168"/>
    </row>
    <row r="303" spans="1:2">
      <c r="A303" s="168"/>
      <c r="B303" s="168"/>
    </row>
    <row r="304" spans="1:2">
      <c r="A304" s="168"/>
      <c r="B304" s="168"/>
    </row>
    <row r="305" spans="1:2">
      <c r="A305" s="168"/>
      <c r="B305" s="168"/>
    </row>
    <row r="306" spans="1:2">
      <c r="A306" s="168"/>
      <c r="B306" s="168"/>
    </row>
    <row r="307" spans="1:2">
      <c r="A307" s="168"/>
      <c r="B307" s="168"/>
    </row>
    <row r="308" spans="1:2">
      <c r="A308" s="168"/>
      <c r="B308" s="168"/>
    </row>
    <row r="309" spans="1:2">
      <c r="A309" s="168"/>
      <c r="B309" s="168"/>
    </row>
    <row r="310" spans="1:2">
      <c r="A310" s="168"/>
      <c r="B310" s="168"/>
    </row>
    <row r="311" spans="1:2">
      <c r="A311" s="168"/>
      <c r="B311" s="168"/>
    </row>
    <row r="312" spans="1:2">
      <c r="A312" s="168"/>
      <c r="B312" s="168"/>
    </row>
    <row r="313" spans="1:2">
      <c r="A313" s="168"/>
      <c r="B313" s="168"/>
    </row>
    <row r="314" spans="1:2">
      <c r="A314" s="168"/>
      <c r="B314" s="168"/>
    </row>
    <row r="315" spans="1:2">
      <c r="A315" s="168"/>
      <c r="B315" s="168"/>
    </row>
    <row r="316" spans="1:2">
      <c r="A316" s="168"/>
      <c r="B316" s="168"/>
    </row>
  </sheetData>
  <pageMargins left="0.511811024" right="0.511811024" top="0.78740157499999996" bottom="0.78740157499999996" header="0.31496062000000002" footer="0.31496062000000002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80C40-8376-4672-93DC-F8AFAB8A7963}">
  <sheetPr codeName="Planilha18"/>
  <dimension ref="A1:AX571"/>
  <sheetViews>
    <sheetView workbookViewId="0">
      <pane ySplit="6" topLeftCell="A7" activePane="bottomLeft" state="frozen"/>
      <selection pane="bottomLeft"/>
    </sheetView>
  </sheetViews>
  <sheetFormatPr defaultRowHeight="18.75"/>
  <cols>
    <col min="1" max="1" width="23" style="162" bestFit="1" customWidth="1"/>
    <col min="2" max="2" width="25.140625" style="162" bestFit="1" customWidth="1"/>
    <col min="3" max="3" width="15.85546875" style="162" bestFit="1" customWidth="1"/>
    <col min="4" max="4" width="10.5703125" bestFit="1" customWidth="1"/>
    <col min="5" max="6" width="9.5703125" bestFit="1" customWidth="1"/>
    <col min="7" max="7" width="10.5703125" bestFit="1" customWidth="1"/>
    <col min="8" max="8" width="12.140625" bestFit="1" customWidth="1"/>
    <col min="12" max="12" width="6.42578125" customWidth="1"/>
    <col min="13" max="14" width="9.140625" hidden="1" customWidth="1"/>
    <col min="15" max="50" width="9.140625" style="39"/>
  </cols>
  <sheetData>
    <row r="1" spans="1:14">
      <c r="A1" s="180" t="s">
        <v>17</v>
      </c>
      <c r="B1" s="162" t="s">
        <v>98</v>
      </c>
      <c r="C1" s="236" t="s">
        <v>168</v>
      </c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</row>
    <row r="2" spans="1:14">
      <c r="A2" s="180" t="s">
        <v>7</v>
      </c>
      <c r="B2" s="162" t="s">
        <v>98</v>
      </c>
      <c r="C2" s="236" t="s">
        <v>165</v>
      </c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</row>
    <row r="3" spans="1:14">
      <c r="A3" s="180" t="s">
        <v>9</v>
      </c>
      <c r="B3" s="162" t="s">
        <v>162</v>
      </c>
      <c r="C3" s="236" t="s">
        <v>166</v>
      </c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</row>
    <row r="4" spans="1:14">
      <c r="A4" s="180" t="s">
        <v>157</v>
      </c>
      <c r="B4" s="162" t="s">
        <v>162</v>
      </c>
      <c r="C4" s="235" t="s">
        <v>163</v>
      </c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</row>
    <row r="5" spans="1:14" s="39" customFormat="1" ht="52.5" customHeight="1">
      <c r="A5" s="168"/>
      <c r="B5" s="186">
        <f>GETPIVOTDATA("Soma de Custo Total ",$A$6)</f>
        <v>0</v>
      </c>
      <c r="C5" s="168"/>
    </row>
    <row r="6" spans="1:14">
      <c r="A6" s="180" t="s">
        <v>167</v>
      </c>
      <c r="B6" s="162" t="s">
        <v>97</v>
      </c>
      <c r="C6" s="162" t="s">
        <v>87</v>
      </c>
      <c r="D6" s="39"/>
      <c r="E6" s="39"/>
      <c r="F6" s="39"/>
      <c r="G6" s="39"/>
      <c r="H6" s="39"/>
      <c r="I6" s="39"/>
      <c r="J6" s="39"/>
      <c r="K6" s="39"/>
      <c r="L6" s="39"/>
    </row>
    <row r="7" spans="1:14">
      <c r="A7" s="181" t="s">
        <v>98</v>
      </c>
      <c r="B7" s="182">
        <v>0</v>
      </c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</row>
    <row r="8" spans="1:14">
      <c r="A8" s="181" t="s">
        <v>86</v>
      </c>
      <c r="B8" s="182">
        <v>0</v>
      </c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</row>
    <row r="9" spans="1:14" ht="15">
      <c r="A9"/>
      <c r="B9"/>
      <c r="C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</row>
    <row r="10" spans="1:14" ht="15">
      <c r="A10"/>
      <c r="B10"/>
      <c r="C10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</row>
    <row r="11" spans="1:14" ht="15">
      <c r="A11"/>
      <c r="B11"/>
      <c r="C11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</row>
    <row r="12" spans="1:14" ht="15">
      <c r="A12"/>
      <c r="B12"/>
      <c r="C12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</row>
    <row r="13" spans="1:14" ht="15">
      <c r="A13"/>
      <c r="B13"/>
      <c r="C13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</row>
    <row r="14" spans="1:14" ht="15">
      <c r="A14"/>
      <c r="B14"/>
      <c r="C14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</row>
    <row r="15" spans="1:14" ht="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</row>
    <row r="16" spans="1:14" ht="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1:14" ht="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</row>
    <row r="18" spans="1:14" ht="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</row>
    <row r="19" spans="1:14" ht="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</row>
    <row r="20" spans="1:14" ht="1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1:14" ht="1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</row>
    <row r="22" spans="1:14" ht="1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</row>
    <row r="23" spans="1:14" ht="1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</row>
    <row r="24" spans="1:14" ht="1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</row>
    <row r="25" spans="1:14" ht="1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</row>
    <row r="26" spans="1:14" ht="1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</row>
    <row r="27" spans="1:14" ht="1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</row>
    <row r="28" spans="1:14" ht="1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</row>
    <row r="29" spans="1:14" ht="1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</row>
    <row r="30" spans="1:14" ht="1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1:14" ht="15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</row>
    <row r="32" spans="1:14" ht="15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</row>
    <row r="33" spans="1:14" ht="15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</row>
    <row r="34" spans="1:14" ht="15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</row>
    <row r="35" spans="1:14" ht="15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</row>
    <row r="36" spans="1:14" ht="15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</row>
    <row r="37" spans="1:14" ht="15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</row>
    <row r="38" spans="1:14" ht="15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</row>
    <row r="39" spans="1:14" ht="15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</row>
    <row r="40" spans="1:14" ht="15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</row>
    <row r="41" spans="1:14" ht="15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</row>
    <row r="42" spans="1:14" ht="15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</row>
    <row r="43" spans="1:14" ht="15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</row>
    <row r="44" spans="1:14" ht="15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</row>
    <row r="45" spans="1:14" ht="15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</row>
    <row r="46" spans="1:14" ht="15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</row>
    <row r="47" spans="1:14" ht="15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</row>
    <row r="48" spans="1:14" ht="15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</row>
    <row r="49" spans="1:14" ht="15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</row>
    <row r="50" spans="1:14" ht="15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</row>
    <row r="51" spans="1:14" ht="15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</row>
    <row r="52" spans="1:14" ht="1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</row>
    <row r="53" spans="1:14" ht="1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</row>
    <row r="54" spans="1:14" ht="1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</row>
    <row r="55" spans="1:14" ht="1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</row>
    <row r="56" spans="1:14" ht="1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</row>
    <row r="57" spans="1:14" ht="1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</row>
    <row r="58" spans="1:14" ht="1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</row>
    <row r="59" spans="1:14" ht="1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1:14" ht="1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</row>
    <row r="61" spans="1:14" ht="1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</row>
    <row r="62" spans="1:14">
      <c r="A62" s="168"/>
      <c r="B62" s="168"/>
      <c r="C62" s="168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</row>
    <row r="63" spans="1:14">
      <c r="A63" s="168"/>
      <c r="B63" s="168"/>
      <c r="C63" s="168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</row>
    <row r="64" spans="1:14">
      <c r="A64" s="168"/>
      <c r="B64" s="168"/>
      <c r="C64" s="168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</row>
    <row r="65" spans="1:14">
      <c r="A65" s="168"/>
      <c r="B65" s="168"/>
      <c r="C65" s="168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</row>
    <row r="66" spans="1:14">
      <c r="A66" s="168"/>
      <c r="B66" s="168"/>
      <c r="C66" s="168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</row>
    <row r="67" spans="1:14">
      <c r="A67" s="168"/>
      <c r="B67" s="168"/>
      <c r="C67" s="168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</row>
    <row r="68" spans="1:14">
      <c r="A68" s="168"/>
      <c r="B68" s="168"/>
      <c r="C68" s="168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</row>
    <row r="69" spans="1:14">
      <c r="A69" s="168"/>
      <c r="B69" s="168"/>
      <c r="C69" s="168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</row>
    <row r="70" spans="1:14">
      <c r="A70" s="168"/>
      <c r="B70" s="168"/>
      <c r="C70" s="168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</row>
    <row r="71" spans="1:14">
      <c r="A71" s="168"/>
      <c r="B71" s="168"/>
      <c r="C71" s="168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</row>
    <row r="72" spans="1:14">
      <c r="A72" s="168"/>
      <c r="B72" s="168"/>
      <c r="C72" s="168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</row>
    <row r="73" spans="1:14">
      <c r="A73" s="168"/>
      <c r="B73" s="168"/>
      <c r="C73" s="168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</row>
    <row r="74" spans="1:14">
      <c r="A74" s="168"/>
      <c r="B74" s="168"/>
      <c r="C74" s="168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</row>
    <row r="75" spans="1:14">
      <c r="A75" s="168"/>
      <c r="B75" s="168"/>
      <c r="C75" s="168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</row>
    <row r="76" spans="1:14">
      <c r="A76" s="168"/>
      <c r="B76" s="168"/>
      <c r="C76" s="168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</row>
    <row r="77" spans="1:14">
      <c r="A77" s="168"/>
      <c r="B77" s="168"/>
      <c r="C77" s="168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</row>
    <row r="78" spans="1:14">
      <c r="A78" s="168"/>
      <c r="B78" s="168"/>
      <c r="C78" s="168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</row>
    <row r="79" spans="1:14">
      <c r="A79" s="168"/>
      <c r="B79" s="168"/>
      <c r="C79" s="168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</row>
    <row r="80" spans="1:14">
      <c r="A80" s="168"/>
      <c r="B80" s="168"/>
      <c r="C80" s="168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</row>
    <row r="81" spans="1:14">
      <c r="A81" s="168"/>
      <c r="B81" s="168"/>
      <c r="C81" s="168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</row>
    <row r="82" spans="1:14">
      <c r="A82" s="168"/>
      <c r="B82" s="168"/>
      <c r="C82" s="168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</row>
    <row r="83" spans="1:14">
      <c r="A83" s="168"/>
      <c r="B83" s="168"/>
      <c r="C83" s="168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</row>
    <row r="84" spans="1:14">
      <c r="A84" s="168"/>
      <c r="B84" s="168"/>
      <c r="C84" s="168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</row>
    <row r="85" spans="1:14">
      <c r="A85" s="168"/>
      <c r="B85" s="168"/>
      <c r="C85" s="168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</row>
    <row r="86" spans="1:14">
      <c r="A86" s="168"/>
      <c r="B86" s="168"/>
      <c r="C86" s="168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</row>
    <row r="87" spans="1:14">
      <c r="A87" s="168"/>
      <c r="B87" s="168"/>
      <c r="C87" s="168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</row>
    <row r="88" spans="1:14">
      <c r="A88" s="168"/>
      <c r="B88" s="168"/>
      <c r="C88" s="168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</row>
    <row r="89" spans="1:14">
      <c r="A89" s="168"/>
      <c r="B89" s="168"/>
      <c r="C89" s="168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</row>
    <row r="90" spans="1:14">
      <c r="A90" s="168"/>
      <c r="B90" s="168"/>
      <c r="C90" s="168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</row>
    <row r="91" spans="1:14">
      <c r="A91" s="168"/>
      <c r="B91" s="168"/>
      <c r="C91" s="168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</row>
    <row r="92" spans="1:14">
      <c r="A92" s="168"/>
      <c r="B92" s="168"/>
      <c r="C92" s="168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</row>
    <row r="93" spans="1:14">
      <c r="A93" s="168"/>
      <c r="B93" s="168"/>
      <c r="C93" s="168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</row>
    <row r="94" spans="1:14">
      <c r="A94" s="168"/>
      <c r="B94" s="168"/>
      <c r="C94" s="168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</row>
    <row r="95" spans="1:14">
      <c r="A95" s="168"/>
      <c r="B95" s="168"/>
      <c r="C95" s="168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</row>
    <row r="96" spans="1:14">
      <c r="A96" s="168"/>
      <c r="B96" s="168"/>
      <c r="C96" s="168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</row>
    <row r="97" spans="1:14">
      <c r="A97" s="168"/>
      <c r="B97" s="168"/>
      <c r="C97" s="168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</row>
    <row r="98" spans="1:14">
      <c r="A98" s="168"/>
      <c r="B98" s="168"/>
      <c r="C98" s="168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</row>
    <row r="99" spans="1:14">
      <c r="A99" s="168"/>
      <c r="B99" s="168"/>
      <c r="C99" s="168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</row>
    <row r="100" spans="1:14">
      <c r="A100" s="168"/>
      <c r="B100" s="168"/>
      <c r="C100" s="168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</row>
    <row r="101" spans="1:14">
      <c r="A101" s="168"/>
      <c r="B101" s="168"/>
      <c r="C101" s="168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</row>
    <row r="102" spans="1:14">
      <c r="A102" s="168"/>
      <c r="B102" s="168"/>
      <c r="C102" s="168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</row>
    <row r="103" spans="1:14">
      <c r="A103" s="168"/>
      <c r="B103" s="168"/>
      <c r="C103" s="168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</row>
    <row r="104" spans="1:14">
      <c r="A104" s="168"/>
      <c r="B104" s="168"/>
      <c r="C104" s="168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</row>
    <row r="105" spans="1:14">
      <c r="A105" s="168"/>
      <c r="B105" s="168"/>
      <c r="C105" s="168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</row>
    <row r="106" spans="1:14">
      <c r="A106" s="168"/>
      <c r="B106" s="168"/>
      <c r="C106" s="168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</row>
    <row r="107" spans="1:14">
      <c r="A107" s="168"/>
      <c r="B107" s="168"/>
      <c r="C107" s="168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</row>
    <row r="108" spans="1:14">
      <c r="A108" s="168"/>
      <c r="B108" s="168"/>
      <c r="C108" s="168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</row>
    <row r="109" spans="1:14">
      <c r="A109" s="168"/>
      <c r="B109" s="168"/>
      <c r="C109" s="168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</row>
    <row r="110" spans="1:14">
      <c r="A110" s="168"/>
      <c r="B110" s="168"/>
      <c r="C110" s="168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</row>
    <row r="111" spans="1:14">
      <c r="A111" s="168"/>
      <c r="B111" s="168"/>
      <c r="C111" s="168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</row>
    <row r="112" spans="1:14">
      <c r="A112" s="168"/>
      <c r="B112" s="168"/>
      <c r="C112" s="168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</row>
    <row r="113" spans="1:14">
      <c r="A113" s="168"/>
      <c r="B113" s="168"/>
      <c r="C113" s="168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</row>
    <row r="114" spans="1:14">
      <c r="A114" s="168"/>
      <c r="B114" s="168"/>
      <c r="C114" s="168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</row>
    <row r="115" spans="1:14">
      <c r="A115" s="168"/>
      <c r="B115" s="168"/>
      <c r="C115" s="168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</row>
    <row r="116" spans="1:14">
      <c r="A116" s="168"/>
      <c r="B116" s="168"/>
      <c r="C116" s="168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</row>
    <row r="117" spans="1:14">
      <c r="A117" s="168"/>
      <c r="B117" s="168"/>
      <c r="C117" s="168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</row>
    <row r="118" spans="1:14">
      <c r="A118" s="168"/>
      <c r="B118" s="168"/>
      <c r="C118" s="168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</row>
    <row r="119" spans="1:14">
      <c r="A119" s="168"/>
      <c r="B119" s="168"/>
      <c r="C119" s="168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</row>
    <row r="120" spans="1:14">
      <c r="A120" s="168"/>
      <c r="B120" s="168"/>
      <c r="C120" s="168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</row>
    <row r="121" spans="1:14">
      <c r="A121" s="168"/>
      <c r="B121" s="168"/>
      <c r="C121" s="168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</row>
    <row r="122" spans="1:14">
      <c r="A122" s="168"/>
      <c r="B122" s="168"/>
      <c r="C122" s="168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</row>
    <row r="123" spans="1:14">
      <c r="A123" s="168"/>
      <c r="B123" s="168"/>
      <c r="C123" s="168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</row>
    <row r="124" spans="1:14">
      <c r="A124" s="168"/>
      <c r="B124" s="168"/>
      <c r="C124" s="168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</row>
    <row r="125" spans="1:14">
      <c r="A125" s="168"/>
      <c r="B125" s="168"/>
      <c r="C125" s="168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</row>
    <row r="126" spans="1:14">
      <c r="A126" s="168"/>
      <c r="B126" s="168"/>
      <c r="C126" s="168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</row>
    <row r="127" spans="1:14">
      <c r="A127" s="168"/>
      <c r="B127" s="168"/>
      <c r="C127" s="168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</row>
    <row r="128" spans="1:14">
      <c r="A128" s="168"/>
      <c r="B128" s="168"/>
      <c r="C128" s="168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</row>
    <row r="129" spans="1:14">
      <c r="A129" s="168"/>
      <c r="B129" s="168"/>
      <c r="C129" s="168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</row>
    <row r="130" spans="1:14">
      <c r="A130" s="168"/>
      <c r="B130" s="168"/>
      <c r="C130" s="168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</row>
    <row r="131" spans="1:14">
      <c r="A131" s="168"/>
      <c r="B131" s="168"/>
      <c r="C131" s="168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</row>
    <row r="132" spans="1:14">
      <c r="A132" s="168"/>
      <c r="B132" s="168"/>
      <c r="C132" s="168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</row>
    <row r="133" spans="1:14">
      <c r="A133" s="168"/>
      <c r="B133" s="168"/>
      <c r="C133" s="168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</row>
    <row r="134" spans="1:14">
      <c r="A134" s="168"/>
      <c r="B134" s="168"/>
      <c r="C134" s="168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</row>
    <row r="135" spans="1:14">
      <c r="A135" s="168"/>
      <c r="B135" s="168"/>
      <c r="C135" s="168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</row>
    <row r="136" spans="1:14">
      <c r="A136" s="168"/>
      <c r="B136" s="168"/>
      <c r="C136" s="168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</row>
    <row r="137" spans="1:14">
      <c r="A137" s="168"/>
      <c r="B137" s="168"/>
      <c r="C137" s="168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</row>
    <row r="138" spans="1:14">
      <c r="A138" s="168"/>
      <c r="B138" s="168"/>
      <c r="C138" s="168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</row>
    <row r="139" spans="1:14">
      <c r="A139" s="168"/>
      <c r="B139" s="168"/>
      <c r="C139" s="168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</row>
    <row r="140" spans="1:14">
      <c r="A140" s="168"/>
      <c r="B140" s="168"/>
      <c r="C140" s="168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</row>
    <row r="141" spans="1:14">
      <c r="A141" s="168"/>
      <c r="B141" s="168"/>
      <c r="C141" s="168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</row>
    <row r="142" spans="1:14">
      <c r="A142" s="168"/>
      <c r="B142" s="168"/>
      <c r="C142" s="168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</row>
    <row r="143" spans="1:14">
      <c r="A143" s="168"/>
      <c r="B143" s="168"/>
      <c r="C143" s="168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</row>
    <row r="144" spans="1:14">
      <c r="A144" s="168"/>
      <c r="B144" s="168"/>
      <c r="C144" s="168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</row>
    <row r="145" spans="1:14">
      <c r="A145" s="168"/>
      <c r="B145" s="168"/>
      <c r="C145" s="168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</row>
    <row r="146" spans="1:14">
      <c r="A146" s="168"/>
      <c r="B146" s="168"/>
      <c r="C146" s="168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</row>
    <row r="147" spans="1:14">
      <c r="A147" s="168"/>
      <c r="B147" s="168"/>
      <c r="C147" s="168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</row>
    <row r="148" spans="1:14">
      <c r="A148" s="168"/>
      <c r="B148" s="168"/>
      <c r="C148" s="168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</row>
    <row r="149" spans="1:14">
      <c r="A149" s="168"/>
      <c r="B149" s="168"/>
      <c r="C149" s="168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</row>
    <row r="150" spans="1:14">
      <c r="A150" s="168"/>
      <c r="B150" s="168"/>
      <c r="C150" s="168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</row>
    <row r="151" spans="1:14">
      <c r="A151" s="168"/>
      <c r="B151" s="168"/>
      <c r="C151" s="168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</row>
    <row r="152" spans="1:14">
      <c r="A152" s="168"/>
      <c r="B152" s="168"/>
      <c r="C152" s="168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</row>
    <row r="153" spans="1:14">
      <c r="A153" s="168"/>
      <c r="B153" s="168"/>
      <c r="C153" s="168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</row>
    <row r="154" spans="1:14">
      <c r="A154" s="168"/>
      <c r="B154" s="168"/>
      <c r="C154" s="168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</row>
    <row r="155" spans="1:14">
      <c r="A155" s="168"/>
      <c r="B155" s="168"/>
      <c r="C155" s="168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</row>
    <row r="156" spans="1:14">
      <c r="A156" s="168"/>
      <c r="B156" s="168"/>
      <c r="C156" s="168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</row>
    <row r="157" spans="1:14">
      <c r="A157" s="168"/>
      <c r="B157" s="168"/>
      <c r="C157" s="168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</row>
    <row r="158" spans="1:14">
      <c r="A158" s="168"/>
      <c r="B158" s="168"/>
      <c r="C158" s="168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</row>
    <row r="159" spans="1:14">
      <c r="A159" s="168"/>
      <c r="B159" s="168"/>
      <c r="C159" s="168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</row>
    <row r="160" spans="1:14">
      <c r="A160" s="168"/>
      <c r="B160" s="168"/>
      <c r="C160" s="168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</row>
    <row r="161" spans="1:14">
      <c r="A161" s="168"/>
      <c r="B161" s="168"/>
      <c r="C161" s="168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</row>
    <row r="162" spans="1:14">
      <c r="A162" s="168"/>
      <c r="B162" s="168"/>
      <c r="C162" s="168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</row>
    <row r="163" spans="1:14">
      <c r="A163" s="168"/>
      <c r="B163" s="168"/>
      <c r="C163" s="168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</row>
    <row r="164" spans="1:14">
      <c r="A164" s="168"/>
      <c r="B164" s="168"/>
      <c r="C164" s="168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</row>
    <row r="165" spans="1:14">
      <c r="A165" s="168"/>
      <c r="B165" s="168"/>
      <c r="C165" s="168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</row>
    <row r="166" spans="1:14">
      <c r="A166" s="168"/>
      <c r="B166" s="168"/>
      <c r="C166" s="168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</row>
    <row r="167" spans="1:14">
      <c r="A167" s="168"/>
      <c r="B167" s="168"/>
      <c r="C167" s="168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</row>
    <row r="168" spans="1:14">
      <c r="A168" s="168"/>
      <c r="B168" s="168"/>
      <c r="C168" s="168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</row>
    <row r="169" spans="1:14">
      <c r="A169" s="168"/>
      <c r="B169" s="168"/>
      <c r="C169" s="168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</row>
    <row r="170" spans="1:14">
      <c r="A170" s="168"/>
      <c r="B170" s="168"/>
      <c r="C170" s="168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</row>
    <row r="171" spans="1:14">
      <c r="A171" s="168"/>
      <c r="B171" s="168"/>
      <c r="C171" s="168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</row>
    <row r="172" spans="1:14">
      <c r="A172" s="168"/>
      <c r="B172" s="168"/>
      <c r="C172" s="168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</row>
    <row r="173" spans="1:14">
      <c r="A173" s="168"/>
      <c r="B173" s="168"/>
      <c r="C173" s="168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</row>
    <row r="174" spans="1:14">
      <c r="A174" s="168"/>
      <c r="B174" s="168"/>
      <c r="C174" s="168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</row>
    <row r="175" spans="1:14">
      <c r="A175" s="168"/>
      <c r="B175" s="168"/>
      <c r="C175" s="168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</row>
    <row r="176" spans="1:14">
      <c r="A176" s="168"/>
      <c r="B176" s="168"/>
      <c r="C176" s="168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</row>
    <row r="177" spans="1:14">
      <c r="A177" s="168"/>
      <c r="B177" s="168"/>
      <c r="C177" s="168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</row>
    <row r="178" spans="1:14">
      <c r="A178" s="168"/>
      <c r="B178" s="168"/>
      <c r="C178" s="168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</row>
    <row r="179" spans="1:14">
      <c r="A179" s="168"/>
      <c r="B179" s="168"/>
      <c r="C179" s="168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</row>
    <row r="180" spans="1:14">
      <c r="A180" s="168"/>
      <c r="B180" s="168"/>
      <c r="C180" s="168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</row>
    <row r="181" spans="1:14">
      <c r="A181" s="168"/>
      <c r="B181" s="168"/>
      <c r="C181" s="168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</row>
    <row r="182" spans="1:14">
      <c r="A182" s="168"/>
      <c r="B182" s="168"/>
      <c r="C182" s="168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</row>
    <row r="183" spans="1:14">
      <c r="A183" s="168"/>
      <c r="B183" s="168"/>
      <c r="C183" s="168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</row>
    <row r="184" spans="1:14">
      <c r="A184" s="168"/>
      <c r="B184" s="168"/>
      <c r="C184" s="168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</row>
    <row r="185" spans="1:14">
      <c r="A185" s="168"/>
      <c r="B185" s="168"/>
      <c r="C185" s="168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</row>
    <row r="186" spans="1:14">
      <c r="A186" s="168"/>
      <c r="B186" s="168"/>
      <c r="C186" s="168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</row>
    <row r="187" spans="1:14">
      <c r="A187" s="168"/>
      <c r="B187" s="168"/>
      <c r="C187" s="168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</row>
    <row r="188" spans="1:14">
      <c r="A188" s="168"/>
      <c r="B188" s="168"/>
      <c r="C188" s="168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</row>
    <row r="189" spans="1:14">
      <c r="A189" s="168"/>
      <c r="B189" s="168"/>
      <c r="C189" s="168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</row>
    <row r="190" spans="1:14">
      <c r="A190" s="168"/>
      <c r="B190" s="168"/>
      <c r="C190" s="168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</row>
    <row r="191" spans="1:14">
      <c r="A191" s="168"/>
      <c r="B191" s="168"/>
      <c r="C191" s="168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</row>
    <row r="192" spans="1:14">
      <c r="A192" s="168"/>
      <c r="B192" s="168"/>
      <c r="C192" s="168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</row>
    <row r="193" spans="1:14">
      <c r="A193" s="168"/>
      <c r="B193" s="168"/>
      <c r="C193" s="168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</row>
    <row r="194" spans="1:14">
      <c r="A194" s="168"/>
      <c r="B194" s="168"/>
      <c r="C194" s="168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</row>
    <row r="195" spans="1:14">
      <c r="A195" s="168"/>
      <c r="B195" s="168"/>
      <c r="C195" s="168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</row>
    <row r="196" spans="1:14">
      <c r="A196" s="168"/>
      <c r="B196" s="168"/>
      <c r="C196" s="168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</row>
    <row r="197" spans="1:14">
      <c r="A197" s="168"/>
      <c r="B197" s="168"/>
      <c r="C197" s="168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</row>
    <row r="198" spans="1:14">
      <c r="A198" s="168"/>
      <c r="B198" s="168"/>
      <c r="C198" s="168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</row>
    <row r="199" spans="1:14">
      <c r="A199" s="168"/>
      <c r="B199" s="168"/>
      <c r="C199" s="168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</row>
    <row r="200" spans="1:14">
      <c r="A200" s="168"/>
      <c r="B200" s="168"/>
      <c r="C200" s="168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</row>
    <row r="201" spans="1:14">
      <c r="A201" s="168"/>
      <c r="B201" s="168"/>
      <c r="C201" s="168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</row>
    <row r="202" spans="1:14">
      <c r="A202" s="168"/>
      <c r="B202" s="168"/>
      <c r="C202" s="168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</row>
    <row r="203" spans="1:14">
      <c r="A203" s="168"/>
      <c r="B203" s="168"/>
      <c r="C203" s="168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</row>
    <row r="204" spans="1:14">
      <c r="A204" s="168"/>
      <c r="B204" s="168"/>
      <c r="C204" s="168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</row>
    <row r="205" spans="1:14">
      <c r="A205" s="168"/>
      <c r="B205" s="168"/>
      <c r="C205" s="168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</row>
    <row r="206" spans="1:14">
      <c r="A206" s="168"/>
      <c r="B206" s="168"/>
      <c r="C206" s="168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</row>
    <row r="207" spans="1:14">
      <c r="A207" s="168"/>
      <c r="B207" s="168"/>
      <c r="C207" s="168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</row>
    <row r="208" spans="1:14">
      <c r="A208" s="168"/>
      <c r="B208" s="168"/>
      <c r="C208" s="168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</row>
    <row r="209" spans="1:14">
      <c r="A209" s="168"/>
      <c r="B209" s="168"/>
      <c r="C209" s="168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</row>
    <row r="210" spans="1:14">
      <c r="A210" s="168"/>
      <c r="B210" s="168"/>
      <c r="C210" s="168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</row>
    <row r="211" spans="1:14">
      <c r="A211" s="168"/>
      <c r="B211" s="168"/>
      <c r="C211" s="168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</row>
    <row r="212" spans="1:14">
      <c r="A212" s="168"/>
      <c r="B212" s="168"/>
      <c r="C212" s="168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</row>
    <row r="213" spans="1:14">
      <c r="A213" s="168"/>
      <c r="B213" s="168"/>
      <c r="C213" s="168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</row>
    <row r="214" spans="1:14">
      <c r="A214" s="168"/>
      <c r="B214" s="168"/>
      <c r="C214" s="168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</row>
    <row r="215" spans="1:14">
      <c r="A215" s="168"/>
      <c r="B215" s="168"/>
      <c r="C215" s="168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</row>
    <row r="216" spans="1:14">
      <c r="A216" s="168"/>
      <c r="B216" s="168"/>
      <c r="C216" s="168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</row>
    <row r="217" spans="1:14">
      <c r="A217" s="168"/>
      <c r="B217" s="168"/>
      <c r="C217" s="168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</row>
    <row r="218" spans="1:14">
      <c r="A218" s="168"/>
      <c r="B218" s="168"/>
      <c r="C218" s="168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</row>
    <row r="219" spans="1:14">
      <c r="A219" s="168"/>
      <c r="B219" s="168"/>
      <c r="C219" s="168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</row>
    <row r="220" spans="1:14">
      <c r="A220" s="168"/>
      <c r="B220" s="168"/>
      <c r="C220" s="168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</row>
    <row r="221" spans="1:14">
      <c r="A221" s="168"/>
      <c r="B221" s="168"/>
      <c r="C221" s="168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</row>
    <row r="222" spans="1:14">
      <c r="A222" s="168"/>
      <c r="B222" s="168"/>
      <c r="C222" s="168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</row>
    <row r="223" spans="1:14">
      <c r="A223" s="168"/>
      <c r="B223" s="168"/>
      <c r="C223" s="168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</row>
    <row r="224" spans="1:14">
      <c r="A224" s="168"/>
      <c r="B224" s="168"/>
      <c r="C224" s="168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</row>
    <row r="225" spans="1:14">
      <c r="A225" s="168"/>
      <c r="B225" s="168"/>
      <c r="C225" s="168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</row>
    <row r="226" spans="1:14">
      <c r="A226" s="168"/>
      <c r="B226" s="168"/>
      <c r="C226" s="168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</row>
    <row r="227" spans="1:14">
      <c r="A227" s="168"/>
      <c r="B227" s="168"/>
      <c r="C227" s="168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</row>
    <row r="228" spans="1:14">
      <c r="A228" s="168"/>
      <c r="B228" s="168"/>
      <c r="C228" s="168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</row>
    <row r="229" spans="1:14">
      <c r="A229" s="168"/>
      <c r="B229" s="168"/>
      <c r="C229" s="168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</row>
    <row r="230" spans="1:14">
      <c r="A230" s="168"/>
      <c r="B230" s="168"/>
      <c r="C230" s="168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</row>
    <row r="231" spans="1:14">
      <c r="A231" s="168"/>
      <c r="B231" s="168"/>
      <c r="C231" s="168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</row>
    <row r="232" spans="1:14">
      <c r="A232" s="168"/>
      <c r="B232" s="168"/>
      <c r="C232" s="168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</row>
    <row r="233" spans="1:14">
      <c r="A233" s="168"/>
      <c r="B233" s="168"/>
      <c r="C233" s="168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</row>
    <row r="234" spans="1:14">
      <c r="A234" s="168"/>
      <c r="B234" s="168"/>
      <c r="C234" s="168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</row>
    <row r="235" spans="1:14">
      <c r="A235" s="168"/>
      <c r="B235" s="168"/>
      <c r="C235" s="168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</row>
    <row r="236" spans="1:14">
      <c r="A236" s="168"/>
      <c r="B236" s="168"/>
      <c r="C236" s="168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</row>
    <row r="237" spans="1:14">
      <c r="A237" s="168"/>
      <c r="B237" s="168"/>
      <c r="C237" s="168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</row>
    <row r="238" spans="1:14">
      <c r="A238" s="168"/>
      <c r="B238" s="168"/>
      <c r="C238" s="168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</row>
    <row r="239" spans="1:14">
      <c r="A239" s="168"/>
      <c r="B239" s="168"/>
      <c r="C239" s="168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</row>
    <row r="240" spans="1:14">
      <c r="A240" s="168"/>
      <c r="B240" s="168"/>
      <c r="C240" s="168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</row>
    <row r="241" spans="1:14">
      <c r="A241" s="168"/>
      <c r="B241" s="168"/>
      <c r="C241" s="168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</row>
    <row r="242" spans="1:14">
      <c r="A242" s="168"/>
      <c r="B242" s="168"/>
      <c r="C242" s="168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</row>
    <row r="243" spans="1:14">
      <c r="A243" s="168"/>
      <c r="B243" s="168"/>
      <c r="C243" s="168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</row>
    <row r="244" spans="1:14">
      <c r="A244" s="168"/>
      <c r="B244" s="168"/>
      <c r="C244" s="168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</row>
    <row r="245" spans="1:14">
      <c r="A245" s="168"/>
      <c r="B245" s="168"/>
      <c r="C245" s="168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</row>
    <row r="246" spans="1:14">
      <c r="A246" s="168"/>
      <c r="B246" s="168"/>
      <c r="C246" s="168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</row>
    <row r="247" spans="1:14">
      <c r="A247" s="168"/>
      <c r="B247" s="168"/>
      <c r="C247" s="168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</row>
    <row r="248" spans="1:14">
      <c r="A248" s="168"/>
      <c r="B248" s="168"/>
      <c r="C248" s="168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</row>
    <row r="249" spans="1:14">
      <c r="A249" s="168"/>
      <c r="B249" s="168"/>
      <c r="C249" s="168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</row>
    <row r="250" spans="1:14">
      <c r="A250" s="168"/>
      <c r="B250" s="168"/>
      <c r="C250" s="168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</row>
    <row r="251" spans="1:14">
      <c r="A251" s="168"/>
      <c r="B251" s="168"/>
      <c r="C251" s="168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</row>
    <row r="252" spans="1:14">
      <c r="A252" s="168"/>
      <c r="B252" s="168"/>
      <c r="C252" s="168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</row>
    <row r="253" spans="1:14">
      <c r="A253" s="168"/>
      <c r="B253" s="168"/>
      <c r="C253" s="168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</row>
    <row r="254" spans="1:14">
      <c r="A254" s="168"/>
      <c r="B254" s="168"/>
      <c r="C254" s="168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</row>
    <row r="255" spans="1:14">
      <c r="A255" s="168"/>
      <c r="B255" s="168"/>
      <c r="C255" s="168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</row>
    <row r="256" spans="1:14">
      <c r="A256" s="168"/>
      <c r="B256" s="168"/>
      <c r="C256" s="168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</row>
    <row r="257" spans="1:14">
      <c r="A257" s="168"/>
      <c r="B257" s="168"/>
      <c r="C257" s="168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</row>
    <row r="258" spans="1:14">
      <c r="A258" s="168"/>
      <c r="B258" s="168"/>
      <c r="C258" s="168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</row>
    <row r="259" spans="1:14">
      <c r="A259" s="168"/>
      <c r="B259" s="168"/>
      <c r="C259" s="168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</row>
    <row r="260" spans="1:14">
      <c r="A260" s="168"/>
      <c r="B260" s="168"/>
      <c r="C260" s="168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</row>
    <row r="261" spans="1:14">
      <c r="A261" s="168"/>
      <c r="B261" s="168"/>
      <c r="C261" s="168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</row>
    <row r="262" spans="1:14">
      <c r="A262" s="168"/>
      <c r="B262" s="168"/>
      <c r="C262" s="168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</row>
    <row r="263" spans="1:14">
      <c r="A263" s="168"/>
      <c r="B263" s="168"/>
      <c r="C263" s="168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</row>
    <row r="264" spans="1:14">
      <c r="A264" s="168"/>
      <c r="B264" s="168"/>
      <c r="C264" s="168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</row>
    <row r="265" spans="1:14">
      <c r="A265" s="168"/>
      <c r="B265" s="168"/>
      <c r="C265" s="168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</row>
    <row r="266" spans="1:14">
      <c r="A266" s="168"/>
      <c r="B266" s="168"/>
      <c r="C266" s="168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</row>
    <row r="267" spans="1:14">
      <c r="A267" s="168"/>
      <c r="B267" s="168"/>
      <c r="C267" s="168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</row>
    <row r="268" spans="1:14">
      <c r="A268" s="168"/>
      <c r="B268" s="168"/>
      <c r="C268" s="168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</row>
    <row r="269" spans="1:14">
      <c r="A269" s="168"/>
      <c r="B269" s="168"/>
      <c r="C269" s="168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</row>
    <row r="270" spans="1:14">
      <c r="A270" s="168"/>
      <c r="B270" s="168"/>
      <c r="C270" s="168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</row>
    <row r="271" spans="1:14">
      <c r="A271" s="168"/>
      <c r="B271" s="168"/>
      <c r="C271" s="168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</row>
    <row r="272" spans="1:14">
      <c r="A272" s="168"/>
      <c r="B272" s="168"/>
      <c r="C272" s="168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</row>
    <row r="273" spans="1:14">
      <c r="A273" s="168"/>
      <c r="B273" s="168"/>
      <c r="C273" s="168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</row>
    <row r="274" spans="1:14">
      <c r="A274" s="168"/>
      <c r="B274" s="168"/>
      <c r="C274" s="168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</row>
    <row r="275" spans="1:14">
      <c r="A275" s="168"/>
      <c r="B275" s="168"/>
      <c r="C275" s="168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</row>
    <row r="276" spans="1:14">
      <c r="A276" s="168"/>
      <c r="B276" s="168"/>
      <c r="C276" s="168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</row>
    <row r="277" spans="1:14">
      <c r="A277" s="168"/>
      <c r="B277" s="168"/>
      <c r="C277" s="168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</row>
    <row r="278" spans="1:14">
      <c r="A278" s="168"/>
      <c r="B278" s="168"/>
      <c r="C278" s="168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</row>
    <row r="279" spans="1:14">
      <c r="A279" s="168"/>
      <c r="B279" s="168"/>
      <c r="C279" s="168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</row>
    <row r="280" spans="1:14">
      <c r="A280" s="168"/>
      <c r="B280" s="168"/>
      <c r="C280" s="168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</row>
    <row r="281" spans="1:14">
      <c r="A281" s="168"/>
      <c r="B281" s="168"/>
      <c r="C281" s="168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</row>
    <row r="282" spans="1:14">
      <c r="A282" s="168"/>
      <c r="B282" s="168"/>
      <c r="C282" s="168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</row>
    <row r="283" spans="1:14">
      <c r="A283" s="168"/>
      <c r="B283" s="168"/>
      <c r="C283" s="168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</row>
    <row r="284" spans="1:14">
      <c r="A284" s="168"/>
      <c r="B284" s="168"/>
      <c r="C284" s="168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</row>
    <row r="285" spans="1:14">
      <c r="A285" s="168"/>
      <c r="B285" s="168"/>
      <c r="C285" s="168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</row>
    <row r="286" spans="1:14">
      <c r="A286" s="168"/>
      <c r="B286" s="168"/>
      <c r="C286" s="168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</row>
    <row r="287" spans="1:14">
      <c r="A287" s="168"/>
      <c r="B287" s="168"/>
      <c r="C287" s="168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</row>
    <row r="288" spans="1:14">
      <c r="A288" s="168"/>
      <c r="B288" s="168"/>
      <c r="C288" s="168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</row>
    <row r="289" spans="1:14">
      <c r="A289" s="168"/>
      <c r="B289" s="168"/>
      <c r="C289" s="168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</row>
    <row r="290" spans="1:14">
      <c r="A290" s="168"/>
      <c r="B290" s="168"/>
      <c r="C290" s="168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</row>
    <row r="291" spans="1:14">
      <c r="A291" s="168"/>
      <c r="B291" s="168"/>
      <c r="C291" s="168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</row>
    <row r="292" spans="1:14">
      <c r="A292" s="168"/>
      <c r="B292" s="168"/>
      <c r="C292" s="168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</row>
    <row r="293" spans="1:14">
      <c r="A293" s="168"/>
      <c r="B293" s="168"/>
      <c r="C293" s="168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</row>
    <row r="294" spans="1:14">
      <c r="A294" s="168"/>
      <c r="B294" s="168"/>
      <c r="C294" s="168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</row>
    <row r="295" spans="1:14">
      <c r="A295" s="168"/>
      <c r="B295" s="168"/>
      <c r="C295" s="168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</row>
    <row r="296" spans="1:14">
      <c r="A296" s="168"/>
      <c r="B296" s="168"/>
      <c r="C296" s="168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</row>
    <row r="297" spans="1:14">
      <c r="A297" s="168"/>
      <c r="B297" s="168"/>
      <c r="C297" s="168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</row>
    <row r="298" spans="1:14">
      <c r="A298" s="168"/>
      <c r="B298" s="168"/>
      <c r="C298" s="168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</row>
    <row r="299" spans="1:14">
      <c r="A299" s="168"/>
      <c r="B299" s="168"/>
      <c r="C299" s="168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</row>
    <row r="300" spans="1:14">
      <c r="A300" s="168"/>
      <c r="B300" s="168"/>
      <c r="C300" s="168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</row>
    <row r="301" spans="1:14">
      <c r="A301" s="168"/>
      <c r="B301" s="168"/>
      <c r="C301" s="168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</row>
    <row r="302" spans="1:14">
      <c r="A302" s="168"/>
      <c r="B302" s="168"/>
      <c r="C302" s="168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</row>
    <row r="303" spans="1:14">
      <c r="A303" s="168"/>
      <c r="B303" s="168"/>
      <c r="C303" s="168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</row>
    <row r="304" spans="1:14">
      <c r="A304" s="168"/>
      <c r="B304" s="168"/>
      <c r="C304" s="168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</row>
    <row r="305" spans="1:14">
      <c r="A305" s="168"/>
      <c r="B305" s="168"/>
      <c r="C305" s="168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</row>
    <row r="306" spans="1:14">
      <c r="A306" s="168"/>
      <c r="B306" s="168"/>
      <c r="C306" s="168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</row>
    <row r="307" spans="1:14">
      <c r="A307" s="168"/>
      <c r="B307" s="168"/>
      <c r="C307" s="168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</row>
    <row r="308" spans="1:14">
      <c r="A308" s="168"/>
      <c r="B308" s="168"/>
      <c r="C308" s="168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</row>
    <row r="309" spans="1:14">
      <c r="A309" s="168"/>
      <c r="B309" s="168"/>
      <c r="C309" s="168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</row>
    <row r="310" spans="1:14">
      <c r="A310" s="168"/>
      <c r="B310" s="168"/>
      <c r="C310" s="168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</row>
    <row r="311" spans="1:14">
      <c r="A311" s="168"/>
      <c r="B311" s="168"/>
      <c r="C311" s="168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</row>
    <row r="312" spans="1:14">
      <c r="A312" s="168"/>
      <c r="B312" s="168"/>
      <c r="C312" s="168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</row>
    <row r="313" spans="1:14">
      <c r="A313" s="168"/>
      <c r="B313" s="168"/>
      <c r="C313" s="168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</row>
    <row r="314" spans="1:14">
      <c r="A314" s="168"/>
      <c r="B314" s="168"/>
      <c r="C314" s="168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</row>
    <row r="315" spans="1:14">
      <c r="A315" s="168"/>
      <c r="B315" s="168"/>
      <c r="C315" s="168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</row>
    <row r="316" spans="1:14">
      <c r="A316" s="168"/>
      <c r="B316" s="168"/>
      <c r="C316" s="168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</row>
    <row r="317" spans="1:14">
      <c r="A317" s="168"/>
      <c r="B317" s="168"/>
      <c r="C317" s="168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</row>
    <row r="318" spans="1:14">
      <c r="A318" s="168"/>
      <c r="B318" s="168"/>
      <c r="C318" s="168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</row>
    <row r="319" spans="1:14">
      <c r="A319" s="168"/>
      <c r="B319" s="168"/>
      <c r="C319" s="168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</row>
    <row r="320" spans="1:14">
      <c r="A320" s="168"/>
      <c r="B320" s="168"/>
      <c r="C320" s="168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</row>
    <row r="321" spans="1:14">
      <c r="A321" s="168"/>
      <c r="B321" s="168"/>
      <c r="C321" s="168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</row>
    <row r="322" spans="1:14">
      <c r="A322" s="168"/>
      <c r="B322" s="168"/>
      <c r="C322" s="168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</row>
    <row r="323" spans="1:14">
      <c r="A323" s="168"/>
      <c r="B323" s="168"/>
      <c r="C323" s="168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</row>
    <row r="324" spans="1:14">
      <c r="A324" s="168"/>
      <c r="B324" s="168"/>
      <c r="C324" s="168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</row>
    <row r="325" spans="1:14">
      <c r="A325" s="168"/>
      <c r="B325" s="168"/>
      <c r="C325" s="168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</row>
    <row r="326" spans="1:14">
      <c r="A326" s="168"/>
      <c r="B326" s="168"/>
      <c r="C326" s="168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</row>
    <row r="327" spans="1:14">
      <c r="A327" s="168"/>
      <c r="B327" s="168"/>
      <c r="C327" s="168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</row>
    <row r="328" spans="1:14">
      <c r="A328" s="168"/>
      <c r="B328" s="168"/>
      <c r="C328" s="168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</row>
    <row r="329" spans="1:14">
      <c r="A329" s="168"/>
      <c r="B329" s="168"/>
      <c r="C329" s="168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</row>
    <row r="330" spans="1:14">
      <c r="A330" s="168"/>
      <c r="B330" s="168"/>
      <c r="C330" s="168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</row>
    <row r="331" spans="1:14">
      <c r="A331" s="168"/>
      <c r="B331" s="168"/>
      <c r="C331" s="168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</row>
    <row r="332" spans="1:14">
      <c r="A332" s="168"/>
      <c r="B332" s="168"/>
      <c r="C332" s="168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</row>
    <row r="333" spans="1:14">
      <c r="A333" s="168"/>
      <c r="B333" s="168"/>
      <c r="C333" s="168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</row>
    <row r="334" spans="1:14">
      <c r="A334" s="168"/>
      <c r="B334" s="168"/>
      <c r="C334" s="168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</row>
    <row r="335" spans="1:14">
      <c r="A335" s="168"/>
      <c r="B335" s="168"/>
      <c r="C335" s="168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</row>
    <row r="336" spans="1:14">
      <c r="A336" s="168"/>
      <c r="B336" s="168"/>
      <c r="C336" s="168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</row>
    <row r="337" spans="1:14">
      <c r="A337" s="168"/>
      <c r="B337" s="168"/>
      <c r="C337" s="168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</row>
    <row r="338" spans="1:14">
      <c r="A338" s="168"/>
      <c r="B338" s="168"/>
      <c r="C338" s="168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</row>
    <row r="339" spans="1:14">
      <c r="A339" s="168"/>
      <c r="B339" s="168"/>
      <c r="C339" s="168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</row>
    <row r="340" spans="1:14">
      <c r="A340" s="168"/>
      <c r="B340" s="168"/>
      <c r="C340" s="168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</row>
    <row r="341" spans="1:14">
      <c r="A341" s="168"/>
      <c r="B341" s="168"/>
      <c r="C341" s="168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</row>
    <row r="342" spans="1:14">
      <c r="A342" s="168"/>
      <c r="B342" s="168"/>
      <c r="C342" s="168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</row>
    <row r="343" spans="1:14">
      <c r="A343" s="168"/>
      <c r="B343" s="168"/>
      <c r="C343" s="168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</row>
    <row r="344" spans="1:14">
      <c r="A344" s="168"/>
      <c r="B344" s="168"/>
      <c r="C344" s="168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</row>
    <row r="345" spans="1:14">
      <c r="A345" s="168"/>
      <c r="B345" s="168"/>
      <c r="C345" s="168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</row>
    <row r="346" spans="1:14">
      <c r="A346" s="168"/>
      <c r="B346" s="168"/>
      <c r="C346" s="168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</row>
    <row r="347" spans="1:14">
      <c r="A347" s="168"/>
      <c r="B347" s="168"/>
      <c r="C347" s="168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</row>
    <row r="348" spans="1:14">
      <c r="A348" s="168"/>
      <c r="B348" s="168"/>
      <c r="C348" s="168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</row>
    <row r="349" spans="1:14">
      <c r="A349" s="168"/>
      <c r="B349" s="168"/>
      <c r="C349" s="168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</row>
    <row r="350" spans="1:14">
      <c r="A350" s="168"/>
      <c r="B350" s="168"/>
      <c r="C350" s="168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</row>
    <row r="351" spans="1:14">
      <c r="A351" s="168"/>
      <c r="B351" s="168"/>
      <c r="C351" s="168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</row>
    <row r="352" spans="1:14">
      <c r="A352" s="168"/>
      <c r="B352" s="168"/>
      <c r="C352" s="168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</row>
    <row r="353" spans="1:14">
      <c r="A353" s="168"/>
      <c r="B353" s="168"/>
      <c r="C353" s="168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</row>
    <row r="354" spans="1:14">
      <c r="A354" s="168"/>
      <c r="B354" s="168"/>
      <c r="C354" s="168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</row>
    <row r="355" spans="1:14">
      <c r="A355" s="168"/>
      <c r="B355" s="168"/>
      <c r="C355" s="168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</row>
    <row r="356" spans="1:14">
      <c r="A356" s="168"/>
      <c r="B356" s="168"/>
      <c r="C356" s="168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</row>
    <row r="357" spans="1:14">
      <c r="A357" s="168"/>
      <c r="B357" s="168"/>
      <c r="C357" s="168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</row>
    <row r="358" spans="1:14">
      <c r="A358" s="168"/>
      <c r="B358" s="168"/>
      <c r="C358" s="168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</row>
    <row r="359" spans="1:14">
      <c r="A359" s="168"/>
      <c r="B359" s="168"/>
      <c r="C359" s="168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</row>
    <row r="360" spans="1:14">
      <c r="A360" s="168"/>
      <c r="B360" s="168"/>
      <c r="C360" s="168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</row>
    <row r="361" spans="1:14">
      <c r="A361" s="168"/>
      <c r="B361" s="168"/>
      <c r="C361" s="168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</row>
    <row r="362" spans="1:14">
      <c r="A362" s="168"/>
      <c r="B362" s="168"/>
      <c r="C362" s="168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</row>
    <row r="363" spans="1:14">
      <c r="A363" s="168"/>
      <c r="B363" s="168"/>
      <c r="C363" s="168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</row>
    <row r="364" spans="1:14">
      <c r="A364" s="168"/>
      <c r="B364" s="168"/>
      <c r="C364" s="168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</row>
    <row r="365" spans="1:14">
      <c r="A365" s="168"/>
      <c r="B365" s="168"/>
      <c r="C365" s="168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</row>
    <row r="366" spans="1:14">
      <c r="A366" s="168"/>
      <c r="B366" s="168"/>
      <c r="C366" s="168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</row>
    <row r="367" spans="1:14">
      <c r="A367" s="168"/>
      <c r="B367" s="168"/>
      <c r="C367" s="168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</row>
    <row r="368" spans="1:14">
      <c r="A368" s="168"/>
      <c r="B368" s="168"/>
      <c r="C368" s="168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</row>
    <row r="369" spans="1:14">
      <c r="A369" s="168"/>
      <c r="B369" s="168"/>
      <c r="C369" s="168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</row>
    <row r="370" spans="1:14">
      <c r="A370" s="168"/>
      <c r="B370" s="168"/>
      <c r="C370" s="168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</row>
    <row r="371" spans="1:14">
      <c r="A371" s="168"/>
      <c r="B371" s="168"/>
      <c r="C371" s="168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</row>
    <row r="372" spans="1:14">
      <c r="A372" s="168"/>
      <c r="B372" s="168"/>
      <c r="C372" s="168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</row>
    <row r="373" spans="1:14">
      <c r="A373" s="168"/>
      <c r="B373" s="168"/>
      <c r="C373" s="168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</row>
    <row r="374" spans="1:14">
      <c r="A374" s="168"/>
      <c r="B374" s="168"/>
      <c r="C374" s="168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</row>
    <row r="375" spans="1:14">
      <c r="A375" s="168"/>
      <c r="B375" s="168"/>
      <c r="C375" s="168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</row>
    <row r="376" spans="1:14">
      <c r="A376" s="168"/>
      <c r="B376" s="168"/>
      <c r="C376" s="168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</row>
    <row r="377" spans="1:14">
      <c r="A377" s="168"/>
      <c r="B377" s="168"/>
      <c r="C377" s="168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</row>
    <row r="378" spans="1:14">
      <c r="A378" s="168"/>
      <c r="B378" s="168"/>
      <c r="C378" s="168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</row>
    <row r="379" spans="1:14">
      <c r="A379" s="168"/>
      <c r="B379" s="168"/>
      <c r="C379" s="168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</row>
    <row r="380" spans="1:14">
      <c r="A380" s="168"/>
      <c r="B380" s="168"/>
      <c r="C380" s="168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</row>
    <row r="381" spans="1:14">
      <c r="A381" s="168"/>
      <c r="B381" s="168"/>
      <c r="C381" s="168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</row>
    <row r="382" spans="1:14">
      <c r="A382" s="168"/>
      <c r="B382" s="168"/>
      <c r="C382" s="168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</row>
    <row r="383" spans="1:14">
      <c r="A383" s="168"/>
      <c r="B383" s="168"/>
      <c r="C383" s="168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</row>
    <row r="384" spans="1:14">
      <c r="A384" s="168"/>
      <c r="B384" s="168"/>
      <c r="C384" s="168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</row>
    <row r="385" spans="1:14">
      <c r="A385" s="168"/>
      <c r="B385" s="168"/>
      <c r="C385" s="168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</row>
    <row r="386" spans="1:14">
      <c r="A386" s="168"/>
      <c r="B386" s="168"/>
      <c r="C386" s="168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</row>
    <row r="387" spans="1:14">
      <c r="A387" s="168"/>
      <c r="B387" s="168"/>
      <c r="C387" s="168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</row>
    <row r="388" spans="1:14">
      <c r="A388" s="168"/>
      <c r="B388" s="168"/>
      <c r="C388" s="168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</row>
    <row r="389" spans="1:14">
      <c r="A389" s="168"/>
      <c r="B389" s="168"/>
      <c r="C389" s="168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</row>
    <row r="390" spans="1:14">
      <c r="A390" s="168"/>
      <c r="B390" s="168"/>
      <c r="C390" s="168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</row>
    <row r="391" spans="1:14">
      <c r="A391" s="168"/>
      <c r="B391" s="168"/>
      <c r="C391" s="168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</row>
    <row r="392" spans="1:14">
      <c r="A392" s="168"/>
      <c r="B392" s="168"/>
      <c r="C392" s="168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</row>
    <row r="393" spans="1:14">
      <c r="A393" s="168"/>
      <c r="B393" s="168"/>
      <c r="C393" s="168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</row>
    <row r="394" spans="1:14">
      <c r="A394" s="168"/>
      <c r="B394" s="168"/>
      <c r="C394" s="168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</row>
    <row r="395" spans="1:14">
      <c r="A395" s="168"/>
      <c r="B395" s="168"/>
      <c r="C395" s="168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</row>
    <row r="396" spans="1:14">
      <c r="A396" s="168"/>
      <c r="B396" s="168"/>
      <c r="C396" s="168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</row>
    <row r="397" spans="1:14">
      <c r="A397" s="168"/>
      <c r="B397" s="168"/>
      <c r="C397" s="168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</row>
    <row r="398" spans="1:14">
      <c r="A398" s="168"/>
      <c r="B398" s="168"/>
      <c r="C398" s="168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</row>
    <row r="399" spans="1:14">
      <c r="A399" s="168"/>
      <c r="B399" s="168"/>
      <c r="C399" s="168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</row>
    <row r="400" spans="1:14">
      <c r="A400" s="168"/>
      <c r="B400" s="168"/>
      <c r="C400" s="168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</row>
    <row r="401" spans="1:14">
      <c r="A401" s="168"/>
      <c r="B401" s="168"/>
      <c r="C401" s="168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</row>
    <row r="402" spans="1:14">
      <c r="A402" s="168"/>
      <c r="B402" s="168"/>
      <c r="C402" s="168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</row>
    <row r="403" spans="1:14">
      <c r="A403" s="168"/>
      <c r="B403" s="168"/>
      <c r="C403" s="168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</row>
    <row r="404" spans="1:14">
      <c r="A404" s="168"/>
      <c r="B404" s="168"/>
      <c r="C404" s="168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</row>
    <row r="405" spans="1:14">
      <c r="A405" s="168"/>
      <c r="B405" s="168"/>
      <c r="C405" s="168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</row>
    <row r="406" spans="1:14">
      <c r="A406" s="168"/>
      <c r="B406" s="168"/>
      <c r="C406" s="168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</row>
    <row r="407" spans="1:14">
      <c r="A407" s="168"/>
      <c r="B407" s="168"/>
      <c r="C407" s="168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</row>
    <row r="408" spans="1:14">
      <c r="A408" s="168"/>
      <c r="B408" s="168"/>
      <c r="C408" s="168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</row>
    <row r="409" spans="1:14">
      <c r="A409" s="168"/>
      <c r="B409" s="168"/>
      <c r="C409" s="168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</row>
    <row r="410" spans="1:14">
      <c r="A410" s="168"/>
      <c r="B410" s="168"/>
      <c r="C410" s="168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</row>
    <row r="411" spans="1:14">
      <c r="A411" s="168"/>
      <c r="B411" s="168"/>
      <c r="C411" s="168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</row>
    <row r="412" spans="1:14">
      <c r="A412" s="168"/>
      <c r="B412" s="168"/>
      <c r="C412" s="168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</row>
    <row r="413" spans="1:14">
      <c r="A413" s="168"/>
      <c r="B413" s="168"/>
      <c r="C413" s="168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</row>
    <row r="414" spans="1:14">
      <c r="A414" s="168"/>
      <c r="B414" s="168"/>
      <c r="C414" s="168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</row>
    <row r="415" spans="1:14">
      <c r="A415" s="168"/>
      <c r="B415" s="168"/>
      <c r="C415" s="168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</row>
    <row r="416" spans="1:14">
      <c r="A416" s="168"/>
      <c r="B416" s="168"/>
      <c r="C416" s="168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</row>
    <row r="417" spans="1:14">
      <c r="A417" s="168"/>
      <c r="B417" s="168"/>
      <c r="C417" s="168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</row>
    <row r="418" spans="1:14">
      <c r="A418" s="168"/>
      <c r="B418" s="168"/>
      <c r="C418" s="168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</row>
    <row r="419" spans="1:14">
      <c r="A419" s="168"/>
      <c r="B419" s="168"/>
      <c r="C419" s="168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</row>
    <row r="420" spans="1:14">
      <c r="A420" s="168"/>
      <c r="B420" s="168"/>
      <c r="C420" s="168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</row>
    <row r="421" spans="1:14">
      <c r="A421" s="168"/>
      <c r="B421" s="168"/>
      <c r="C421" s="168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</row>
    <row r="422" spans="1:14">
      <c r="A422" s="168"/>
      <c r="B422" s="168"/>
      <c r="C422" s="168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</row>
    <row r="423" spans="1:14">
      <c r="A423" s="168"/>
      <c r="B423" s="168"/>
      <c r="C423" s="168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</row>
    <row r="424" spans="1:14">
      <c r="A424" s="168"/>
      <c r="B424" s="168"/>
      <c r="C424" s="168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</row>
    <row r="425" spans="1:14">
      <c r="A425" s="168"/>
      <c r="B425" s="168"/>
      <c r="C425" s="168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</row>
    <row r="426" spans="1:14">
      <c r="A426" s="168"/>
      <c r="B426" s="168"/>
      <c r="C426" s="168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</row>
    <row r="427" spans="1:14">
      <c r="A427" s="168"/>
      <c r="B427" s="168"/>
      <c r="C427" s="168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</row>
    <row r="428" spans="1:14">
      <c r="A428" s="168"/>
      <c r="B428" s="168"/>
      <c r="C428" s="168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</row>
    <row r="429" spans="1:14">
      <c r="A429" s="168"/>
      <c r="B429" s="168"/>
      <c r="C429" s="168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</row>
    <row r="430" spans="1:14">
      <c r="A430" s="168"/>
      <c r="B430" s="168"/>
      <c r="C430" s="168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</row>
    <row r="431" spans="1:14">
      <c r="A431" s="168"/>
      <c r="B431" s="168"/>
      <c r="C431" s="168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</row>
    <row r="432" spans="1:14">
      <c r="A432" s="168"/>
      <c r="B432" s="168"/>
      <c r="C432" s="168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</row>
    <row r="433" spans="1:14">
      <c r="A433" s="168"/>
      <c r="B433" s="168"/>
      <c r="C433" s="168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</row>
    <row r="434" spans="1:14">
      <c r="A434" s="168"/>
      <c r="B434" s="168"/>
      <c r="C434" s="168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</row>
    <row r="435" spans="1:14">
      <c r="A435" s="168"/>
      <c r="B435" s="168"/>
      <c r="C435" s="168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</row>
    <row r="436" spans="1:14">
      <c r="A436" s="168"/>
      <c r="B436" s="168"/>
      <c r="C436" s="168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</row>
    <row r="437" spans="1:14">
      <c r="A437" s="168"/>
      <c r="B437" s="168"/>
      <c r="C437" s="168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</row>
    <row r="438" spans="1:14">
      <c r="A438" s="168"/>
      <c r="B438" s="168"/>
      <c r="C438" s="168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</row>
    <row r="439" spans="1:14">
      <c r="A439" s="168"/>
      <c r="B439" s="168"/>
      <c r="C439" s="168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</row>
    <row r="440" spans="1:14">
      <c r="A440" s="168"/>
      <c r="B440" s="168"/>
      <c r="C440" s="168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</row>
    <row r="441" spans="1:14">
      <c r="A441" s="168"/>
      <c r="B441" s="168"/>
      <c r="C441" s="168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</row>
    <row r="442" spans="1:14">
      <c r="A442" s="168"/>
      <c r="B442" s="168"/>
      <c r="C442" s="168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</row>
    <row r="443" spans="1:14">
      <c r="A443" s="168"/>
      <c r="B443" s="168"/>
      <c r="C443" s="168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</row>
    <row r="444" spans="1:14">
      <c r="A444" s="168"/>
      <c r="B444" s="168"/>
      <c r="C444" s="168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</row>
    <row r="445" spans="1:14">
      <c r="A445" s="168"/>
      <c r="B445" s="168"/>
      <c r="C445" s="168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</row>
    <row r="446" spans="1:14">
      <c r="A446" s="168"/>
      <c r="B446" s="168"/>
      <c r="C446" s="168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</row>
    <row r="447" spans="1:14">
      <c r="A447" s="168"/>
      <c r="B447" s="168"/>
      <c r="C447" s="168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</row>
    <row r="448" spans="1:14">
      <c r="A448" s="168"/>
      <c r="B448" s="168"/>
      <c r="C448" s="168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</row>
    <row r="449" spans="1:14">
      <c r="A449" s="168"/>
      <c r="B449" s="168"/>
      <c r="C449" s="168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</row>
    <row r="450" spans="1:14">
      <c r="A450" s="168"/>
      <c r="B450" s="168"/>
      <c r="C450" s="168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</row>
    <row r="451" spans="1:14">
      <c r="A451" s="168"/>
      <c r="B451" s="168"/>
      <c r="C451" s="168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</row>
    <row r="452" spans="1:14">
      <c r="A452" s="168"/>
      <c r="B452" s="168"/>
      <c r="C452" s="168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</row>
    <row r="453" spans="1:14">
      <c r="A453" s="168"/>
      <c r="B453" s="168"/>
      <c r="C453" s="168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</row>
    <row r="454" spans="1:14">
      <c r="A454" s="168"/>
      <c r="B454" s="168"/>
      <c r="C454" s="168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</row>
    <row r="455" spans="1:14">
      <c r="A455" s="168"/>
      <c r="B455" s="168"/>
      <c r="C455" s="168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</row>
    <row r="456" spans="1:14">
      <c r="A456" s="168"/>
      <c r="B456" s="168"/>
      <c r="C456" s="168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</row>
    <row r="457" spans="1:14">
      <c r="A457" s="168"/>
      <c r="B457" s="168"/>
      <c r="C457" s="168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</row>
    <row r="458" spans="1:14">
      <c r="A458" s="168"/>
      <c r="B458" s="168"/>
      <c r="C458" s="168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</row>
    <row r="459" spans="1:14">
      <c r="A459" s="168"/>
      <c r="B459" s="168"/>
      <c r="C459" s="168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</row>
    <row r="460" spans="1:14">
      <c r="A460" s="168"/>
      <c r="B460" s="168"/>
      <c r="C460" s="168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</row>
    <row r="461" spans="1:14">
      <c r="A461" s="168"/>
      <c r="B461" s="168"/>
      <c r="C461" s="168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</row>
    <row r="462" spans="1:14">
      <c r="A462" s="168"/>
      <c r="B462" s="168"/>
      <c r="C462" s="168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</row>
    <row r="463" spans="1:14">
      <c r="A463" s="168"/>
      <c r="B463" s="168"/>
      <c r="C463" s="168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</row>
    <row r="464" spans="1:14">
      <c r="A464" s="168"/>
      <c r="B464" s="168"/>
      <c r="C464" s="168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</row>
    <row r="465" spans="1:14">
      <c r="A465" s="168"/>
      <c r="B465" s="168"/>
      <c r="C465" s="168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</row>
    <row r="466" spans="1:14">
      <c r="A466" s="168"/>
      <c r="B466" s="168"/>
      <c r="C466" s="168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</row>
    <row r="467" spans="1:14">
      <c r="A467" s="168"/>
      <c r="B467" s="168"/>
      <c r="C467" s="168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</row>
    <row r="468" spans="1:14">
      <c r="A468" s="168"/>
      <c r="B468" s="168"/>
      <c r="C468" s="168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</row>
    <row r="469" spans="1:14">
      <c r="A469" s="168"/>
      <c r="B469" s="168"/>
      <c r="C469" s="168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</row>
    <row r="470" spans="1:14">
      <c r="A470" s="168"/>
      <c r="B470" s="168"/>
      <c r="C470" s="168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</row>
    <row r="471" spans="1:14">
      <c r="A471" s="168"/>
      <c r="B471" s="168"/>
      <c r="C471" s="168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</row>
    <row r="472" spans="1:14">
      <c r="A472" s="168"/>
      <c r="B472" s="168"/>
      <c r="C472" s="168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</row>
    <row r="473" spans="1:14">
      <c r="A473" s="168"/>
      <c r="B473" s="168"/>
      <c r="C473" s="168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</row>
    <row r="474" spans="1:14">
      <c r="A474" s="168"/>
      <c r="B474" s="168"/>
      <c r="C474" s="168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</row>
    <row r="475" spans="1:14">
      <c r="A475" s="168"/>
      <c r="B475" s="168"/>
      <c r="C475" s="168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</row>
    <row r="476" spans="1:14">
      <c r="A476" s="168"/>
      <c r="B476" s="168"/>
      <c r="C476" s="168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</row>
    <row r="477" spans="1:14">
      <c r="A477" s="168"/>
      <c r="B477" s="168"/>
      <c r="C477" s="168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</row>
    <row r="478" spans="1:14">
      <c r="A478" s="168"/>
      <c r="B478" s="168"/>
      <c r="C478" s="168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</row>
    <row r="479" spans="1:14">
      <c r="A479" s="168"/>
      <c r="B479" s="168"/>
      <c r="C479" s="168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</row>
    <row r="480" spans="1:14">
      <c r="A480" s="168"/>
      <c r="B480" s="168"/>
      <c r="C480" s="168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</row>
    <row r="481" spans="1:14">
      <c r="A481" s="168"/>
      <c r="B481" s="168"/>
      <c r="C481" s="168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</row>
    <row r="482" spans="1:14">
      <c r="A482" s="168"/>
      <c r="B482" s="168"/>
      <c r="C482" s="168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</row>
    <row r="483" spans="1:14">
      <c r="A483" s="168"/>
      <c r="B483" s="168"/>
      <c r="C483" s="168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</row>
    <row r="484" spans="1:14">
      <c r="A484" s="168"/>
      <c r="B484" s="168"/>
      <c r="C484" s="168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</row>
    <row r="485" spans="1:14">
      <c r="A485" s="168"/>
      <c r="B485" s="168"/>
      <c r="C485" s="168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</row>
    <row r="486" spans="1:14">
      <c r="A486" s="168"/>
      <c r="B486" s="168"/>
      <c r="C486" s="168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</row>
    <row r="487" spans="1:14">
      <c r="A487" s="168"/>
      <c r="B487" s="168"/>
      <c r="C487" s="168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</row>
    <row r="488" spans="1:14">
      <c r="A488" s="168"/>
      <c r="B488" s="168"/>
      <c r="C488" s="168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</row>
    <row r="489" spans="1:14">
      <c r="A489" s="168"/>
      <c r="B489" s="168"/>
      <c r="C489" s="168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</row>
    <row r="490" spans="1:14">
      <c r="A490" s="168"/>
      <c r="B490" s="168"/>
      <c r="C490" s="168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</row>
    <row r="491" spans="1:14">
      <c r="A491" s="168"/>
      <c r="B491" s="168"/>
      <c r="C491" s="168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</row>
    <row r="492" spans="1:14">
      <c r="A492" s="168"/>
      <c r="B492" s="168"/>
      <c r="C492" s="168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</row>
    <row r="493" spans="1:14">
      <c r="A493" s="168"/>
      <c r="B493" s="168"/>
      <c r="C493" s="168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</row>
    <row r="494" spans="1:14">
      <c r="A494" s="168"/>
      <c r="B494" s="168"/>
      <c r="C494" s="168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</row>
    <row r="495" spans="1:14">
      <c r="A495" s="168"/>
      <c r="B495" s="168"/>
      <c r="C495" s="168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</row>
    <row r="496" spans="1:14">
      <c r="A496" s="168"/>
      <c r="B496" s="168"/>
      <c r="C496" s="168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</row>
    <row r="497" spans="1:14">
      <c r="A497" s="168"/>
      <c r="B497" s="168"/>
      <c r="C497" s="168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</row>
    <row r="498" spans="1:14">
      <c r="A498" s="168"/>
      <c r="B498" s="168"/>
      <c r="C498" s="168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</row>
    <row r="499" spans="1:14">
      <c r="A499" s="168"/>
      <c r="B499" s="168"/>
      <c r="C499" s="168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</row>
    <row r="500" spans="1:14">
      <c r="A500" s="168"/>
      <c r="B500" s="168"/>
      <c r="C500" s="168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</row>
    <row r="501" spans="1:14">
      <c r="A501" s="168"/>
      <c r="B501" s="168"/>
      <c r="C501" s="168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</row>
    <row r="502" spans="1:14">
      <c r="A502" s="168"/>
      <c r="B502" s="168"/>
      <c r="C502" s="168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</row>
    <row r="503" spans="1:14">
      <c r="A503" s="168"/>
      <c r="B503" s="168"/>
      <c r="C503" s="168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</row>
    <row r="504" spans="1:14">
      <c r="A504" s="168"/>
      <c r="B504" s="168"/>
      <c r="C504" s="168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</row>
    <row r="505" spans="1:14">
      <c r="A505" s="168"/>
      <c r="B505" s="168"/>
      <c r="C505" s="168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</row>
    <row r="506" spans="1:14">
      <c r="A506" s="168"/>
      <c r="B506" s="168"/>
      <c r="C506" s="168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</row>
    <row r="507" spans="1:14">
      <c r="A507" s="168"/>
      <c r="B507" s="168"/>
      <c r="C507" s="168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</row>
    <row r="508" spans="1:14">
      <c r="A508" s="168"/>
      <c r="B508" s="168"/>
      <c r="C508" s="168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</row>
    <row r="509" spans="1:14">
      <c r="A509" s="168"/>
      <c r="B509" s="168"/>
      <c r="C509" s="168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</row>
    <row r="510" spans="1:14">
      <c r="A510" s="168"/>
      <c r="B510" s="168"/>
      <c r="C510" s="168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</row>
    <row r="511" spans="1:14">
      <c r="A511" s="168"/>
      <c r="B511" s="168"/>
      <c r="C511" s="168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</row>
    <row r="512" spans="1:14">
      <c r="A512" s="168"/>
      <c r="B512" s="168"/>
      <c r="C512" s="168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</row>
    <row r="513" spans="1:14">
      <c r="A513" s="168"/>
      <c r="B513" s="168"/>
      <c r="C513" s="168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</row>
    <row r="514" spans="1:14">
      <c r="A514" s="168"/>
      <c r="B514" s="168"/>
      <c r="C514" s="168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</row>
    <row r="515" spans="1:14">
      <c r="A515" s="168"/>
      <c r="B515" s="168"/>
      <c r="C515" s="168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</row>
    <row r="516" spans="1:14">
      <c r="A516" s="168"/>
      <c r="B516" s="168"/>
      <c r="C516" s="168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</row>
    <row r="517" spans="1:14">
      <c r="A517" s="168"/>
      <c r="B517" s="168"/>
      <c r="C517" s="168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</row>
    <row r="518" spans="1:14">
      <c r="A518" s="168"/>
      <c r="B518" s="168"/>
      <c r="C518" s="168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</row>
    <row r="519" spans="1:14">
      <c r="A519" s="168"/>
      <c r="B519" s="168"/>
      <c r="C519" s="168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</row>
    <row r="520" spans="1:14">
      <c r="A520" s="168"/>
      <c r="B520" s="168"/>
      <c r="C520" s="168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</row>
    <row r="521" spans="1:14">
      <c r="A521" s="168"/>
      <c r="B521" s="168"/>
      <c r="C521" s="168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</row>
    <row r="522" spans="1:14">
      <c r="A522" s="168"/>
      <c r="B522" s="168"/>
      <c r="C522" s="168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</row>
    <row r="523" spans="1:14">
      <c r="A523" s="168"/>
      <c r="B523" s="168"/>
      <c r="C523" s="168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</row>
    <row r="524" spans="1:14">
      <c r="A524" s="168"/>
      <c r="B524" s="168"/>
      <c r="C524" s="168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</row>
    <row r="525" spans="1:14">
      <c r="A525" s="168"/>
      <c r="B525" s="168"/>
      <c r="C525" s="168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</row>
    <row r="526" spans="1:14">
      <c r="A526" s="168"/>
      <c r="B526" s="168"/>
      <c r="C526" s="168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</row>
    <row r="527" spans="1:14">
      <c r="A527" s="168"/>
      <c r="B527" s="168"/>
      <c r="C527" s="168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</row>
    <row r="528" spans="1:14">
      <c r="A528" s="168"/>
      <c r="B528" s="168"/>
      <c r="C528" s="168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</row>
    <row r="529" spans="1:14">
      <c r="A529" s="168"/>
      <c r="B529" s="168"/>
      <c r="C529" s="168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</row>
    <row r="530" spans="1:14">
      <c r="A530" s="168"/>
      <c r="B530" s="168"/>
      <c r="C530" s="168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</row>
    <row r="531" spans="1:14">
      <c r="A531" s="168"/>
      <c r="B531" s="168"/>
      <c r="C531" s="168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</row>
    <row r="532" spans="1:14">
      <c r="A532" s="168"/>
      <c r="B532" s="168"/>
      <c r="C532" s="168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</row>
    <row r="533" spans="1:14">
      <c r="A533" s="168"/>
      <c r="B533" s="168"/>
      <c r="C533" s="168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</row>
    <row r="534" spans="1:14">
      <c r="A534" s="168"/>
      <c r="B534" s="168"/>
      <c r="C534" s="168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</row>
    <row r="535" spans="1:14">
      <c r="A535" s="168"/>
      <c r="B535" s="168"/>
      <c r="C535" s="168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</row>
    <row r="536" spans="1:14">
      <c r="A536" s="168"/>
      <c r="B536" s="168"/>
      <c r="C536" s="168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</row>
    <row r="537" spans="1:14">
      <c r="A537" s="168"/>
      <c r="B537" s="168"/>
      <c r="C537" s="168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</row>
    <row r="538" spans="1:14">
      <c r="A538" s="168"/>
      <c r="B538" s="168"/>
      <c r="C538" s="168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</row>
    <row r="539" spans="1:14">
      <c r="A539" s="168"/>
      <c r="B539" s="168"/>
      <c r="C539" s="168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</row>
    <row r="540" spans="1:14">
      <c r="A540" s="168"/>
      <c r="B540" s="168"/>
      <c r="C540" s="168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</row>
    <row r="541" spans="1:14">
      <c r="A541" s="168"/>
      <c r="B541" s="168"/>
      <c r="C541" s="168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</row>
    <row r="542" spans="1:14">
      <c r="A542" s="168"/>
      <c r="B542" s="168"/>
      <c r="C542" s="168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</row>
    <row r="543" spans="1:14">
      <c r="A543" s="168"/>
      <c r="B543" s="168"/>
      <c r="C543" s="168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</row>
    <row r="544" spans="1:14">
      <c r="A544" s="168"/>
      <c r="B544" s="168"/>
      <c r="C544" s="168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</row>
    <row r="545" spans="1:14">
      <c r="A545" s="168"/>
      <c r="B545" s="168"/>
      <c r="C545" s="168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</row>
    <row r="546" spans="1:14">
      <c r="A546" s="168"/>
      <c r="B546" s="168"/>
      <c r="C546" s="168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</row>
    <row r="547" spans="1:14">
      <c r="A547" s="168"/>
      <c r="B547" s="168"/>
      <c r="C547" s="168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</row>
    <row r="548" spans="1:14">
      <c r="A548" s="168"/>
      <c r="B548" s="168"/>
      <c r="C548" s="168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</row>
    <row r="549" spans="1:14">
      <c r="A549" s="168"/>
      <c r="B549" s="168"/>
      <c r="C549" s="168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</row>
    <row r="550" spans="1:14">
      <c r="A550" s="168"/>
      <c r="B550" s="168"/>
      <c r="C550" s="168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</row>
    <row r="551" spans="1:14">
      <c r="A551" s="168"/>
      <c r="B551" s="168"/>
      <c r="C551" s="168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</row>
    <row r="552" spans="1:14">
      <c r="A552" s="168"/>
      <c r="B552" s="168"/>
      <c r="C552" s="168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</row>
    <row r="553" spans="1:14">
      <c r="A553" s="168"/>
      <c r="B553" s="168"/>
      <c r="C553" s="168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</row>
    <row r="554" spans="1:14">
      <c r="A554" s="168"/>
      <c r="B554" s="168"/>
      <c r="C554" s="168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</row>
    <row r="555" spans="1:14">
      <c r="A555" s="168"/>
      <c r="B555" s="168"/>
      <c r="C555" s="168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</row>
    <row r="556" spans="1:14">
      <c r="A556" s="168"/>
      <c r="B556" s="168"/>
      <c r="C556" s="168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</row>
    <row r="557" spans="1:14">
      <c r="A557" s="168"/>
      <c r="B557" s="168"/>
      <c r="C557" s="168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</row>
    <row r="558" spans="1:14">
      <c r="A558" s="168"/>
      <c r="B558" s="168"/>
      <c r="C558" s="168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</row>
    <row r="559" spans="1:14">
      <c r="A559" s="168"/>
      <c r="B559" s="168"/>
      <c r="C559" s="168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</row>
    <row r="560" spans="1:14">
      <c r="A560" s="168"/>
      <c r="B560" s="168"/>
      <c r="C560" s="168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</row>
    <row r="561" spans="1:14">
      <c r="A561" s="168"/>
      <c r="B561" s="168"/>
      <c r="C561" s="168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</row>
    <row r="562" spans="1:14">
      <c r="A562" s="168"/>
      <c r="B562" s="168"/>
      <c r="C562" s="168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</row>
    <row r="563" spans="1:14">
      <c r="A563" s="168"/>
      <c r="B563" s="168"/>
      <c r="C563" s="168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</row>
    <row r="564" spans="1:14">
      <c r="A564" s="168"/>
      <c r="B564" s="168"/>
      <c r="C564" s="168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</row>
    <row r="565" spans="1:14">
      <c r="A565" s="168"/>
      <c r="B565" s="168"/>
      <c r="C565" s="168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</row>
    <row r="566" spans="1:14"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</row>
    <row r="567" spans="1:14"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</row>
    <row r="568" spans="1:14"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</row>
    <row r="569" spans="1:14"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</row>
    <row r="570" spans="1:14"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</row>
    <row r="571" spans="1:14"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</row>
  </sheetData>
  <mergeCells count="4">
    <mergeCell ref="C4:N4"/>
    <mergeCell ref="C2:N2"/>
    <mergeCell ref="C3:N3"/>
    <mergeCell ref="C1:N1"/>
  </mergeCells>
  <pageMargins left="0.511811024" right="0.511811024" top="0.78740157499999996" bottom="0.78740157499999996" header="0.31496062000000002" footer="0.31496062000000002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9FE88BC493EC4A8F7FBEF2BE49849E" ma:contentTypeVersion="5" ma:contentTypeDescription="Create a new document." ma:contentTypeScope="" ma:versionID="6ff4f404128f86b26612d527fd8a6f1e">
  <xsd:schema xmlns:xsd="http://www.w3.org/2001/XMLSchema" xmlns:xs="http://www.w3.org/2001/XMLSchema" xmlns:p="http://schemas.microsoft.com/office/2006/metadata/properties" xmlns:ns3="4cca5a58-76eb-4733-b612-3be3a977e01f" targetNamespace="http://schemas.microsoft.com/office/2006/metadata/properties" ma:root="true" ma:fieldsID="46515d50d80c1a2755df5fd48a0ba297" ns3:_="">
    <xsd:import namespace="4cca5a58-76eb-4733-b612-3be3a977e01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ca5a58-76eb-4733-b612-3be3a977e0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cca5a58-76eb-4733-b612-3be3a977e01f" xsi:nil="true"/>
  </documentManagement>
</p:properti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2FECFBBA-553D-4BC1-853B-9B0FC15B3427}">
  <ds:schemaRefs/>
</ds:datastoreItem>
</file>

<file path=customXml/itemProps2.xml><?xml version="1.0" encoding="utf-8"?>
<ds:datastoreItem xmlns:ds="http://schemas.openxmlformats.org/officeDocument/2006/customXml" ds:itemID="{4B10D2F7-B442-411C-ABEA-150FFBC8F091}">
  <ds:schemaRefs/>
</ds:datastoreItem>
</file>

<file path=customXml/itemProps3.xml><?xml version="1.0" encoding="utf-8"?>
<ds:datastoreItem xmlns:ds="http://schemas.openxmlformats.org/officeDocument/2006/customXml" ds:itemID="{AD379D27-26A1-4A6D-A4AB-815A21F67047}">
  <ds:schemaRefs/>
</ds:datastoreItem>
</file>

<file path=customXml/itemProps4.xml><?xml version="1.0" encoding="utf-8"?>
<ds:datastoreItem xmlns:ds="http://schemas.openxmlformats.org/officeDocument/2006/customXml" ds:itemID="{05066FF7-7FA5-446A-A2E6-A97044EEFE1D}">
  <ds:schemaRefs/>
</ds:datastoreItem>
</file>

<file path=customXml/itemProps5.xml><?xml version="1.0" encoding="utf-8"?>
<ds:datastoreItem xmlns:ds="http://schemas.openxmlformats.org/officeDocument/2006/customXml" ds:itemID="{A13802D2-9338-4741-8864-05F5AF7C0676}">
  <ds:schemaRefs/>
</ds:datastoreItem>
</file>

<file path=customXml/itemProps6.xml><?xml version="1.0" encoding="utf-8"?>
<ds:datastoreItem xmlns:ds="http://schemas.openxmlformats.org/officeDocument/2006/customXml" ds:itemID="{4B66610D-803C-499C-BBD8-E22F055886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ca5a58-76eb-4733-b612-3be3a977e0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D29A4EB8-CDB9-47B4-AEB0-E233D6C7C55E}">
  <ds:schemaRefs/>
</ds:datastoreItem>
</file>

<file path=customXml/itemProps8.xml><?xml version="1.0" encoding="utf-8"?>
<ds:datastoreItem xmlns:ds="http://schemas.openxmlformats.org/officeDocument/2006/customXml" ds:itemID="{BB51D38B-C82A-4D54-B770-AE4B9E60EDAE}">
  <ds:schemaRefs/>
</ds:datastoreItem>
</file>

<file path=customXml/itemProps9.xml><?xml version="1.0" encoding="utf-8"?>
<ds:datastoreItem xmlns:ds="http://schemas.openxmlformats.org/officeDocument/2006/customXml" ds:itemID="{2BD123EC-E4F7-4C75-95D0-CCC3F7C90707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5D3C969-4C53-47B3-A6D4-D918A79077B2}">
  <ds:schemaRefs/>
</ds:datastoreItem>
</file>

<file path=customXml/itemProps11.xml><?xml version="1.0" encoding="utf-8"?>
<ds:datastoreItem xmlns:ds="http://schemas.openxmlformats.org/officeDocument/2006/customXml" ds:itemID="{0D5344EA-7F1F-4FA7-9A90-73AE53ACF08F}">
  <ds:schemaRefs/>
</ds:datastoreItem>
</file>

<file path=customXml/itemProps12.xml><?xml version="1.0" encoding="utf-8"?>
<ds:datastoreItem xmlns:ds="http://schemas.openxmlformats.org/officeDocument/2006/customXml" ds:itemID="{6FD1B84F-B89E-4A88-839D-5340E901D59C}">
  <ds:schemaRefs/>
</ds:datastoreItem>
</file>

<file path=customXml/itemProps13.xml><?xml version="1.0" encoding="utf-8"?>
<ds:datastoreItem xmlns:ds="http://schemas.openxmlformats.org/officeDocument/2006/customXml" ds:itemID="{51BFBE3E-B1D1-43A7-A2A2-F91081EE7BFF}">
  <ds:schemaRefs>
    <ds:schemaRef ds:uri="4cca5a58-76eb-4733-b612-3be3a977e01f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customXml/itemProps14.xml><?xml version="1.0" encoding="utf-8"?>
<ds:datastoreItem xmlns:ds="http://schemas.openxmlformats.org/officeDocument/2006/customXml" ds:itemID="{3AE9655E-86D1-49E3-AB60-969EEB19F282}">
  <ds:schemaRefs/>
</ds:datastoreItem>
</file>

<file path=customXml/itemProps15.xml><?xml version="1.0" encoding="utf-8"?>
<ds:datastoreItem xmlns:ds="http://schemas.openxmlformats.org/officeDocument/2006/customXml" ds:itemID="{407BE0C5-7088-42FF-81E0-9D19515B6266}">
  <ds:schemaRefs/>
</ds:datastoreItem>
</file>

<file path=customXml/itemProps16.xml><?xml version="1.0" encoding="utf-8"?>
<ds:datastoreItem xmlns:ds="http://schemas.openxmlformats.org/officeDocument/2006/customXml" ds:itemID="{4A3D0A80-7FE4-4D49-B417-91FBE072D8D3}">
  <ds:schemaRefs/>
</ds:datastoreItem>
</file>

<file path=customXml/itemProps17.xml><?xml version="1.0" encoding="utf-8"?>
<ds:datastoreItem xmlns:ds="http://schemas.openxmlformats.org/officeDocument/2006/customXml" ds:itemID="{48AE291E-F919-450C-B11A-3B702064CBDA}">
  <ds:schemaRefs/>
</ds:datastoreItem>
</file>

<file path=customXml/itemProps18.xml><?xml version="1.0" encoding="utf-8"?>
<ds:datastoreItem xmlns:ds="http://schemas.openxmlformats.org/officeDocument/2006/customXml" ds:itemID="{0CAE2916-A969-446D-92CB-0620DBD96216}">
  <ds:schemaRefs/>
</ds:datastoreItem>
</file>

<file path=customXml/itemProps19.xml><?xml version="1.0" encoding="utf-8"?>
<ds:datastoreItem xmlns:ds="http://schemas.openxmlformats.org/officeDocument/2006/customXml" ds:itemID="{5B405905-3BC6-4E39-9EA6-651352B79C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</vt:i4>
      </vt:variant>
    </vt:vector>
  </HeadingPairs>
  <TitlesOfParts>
    <vt:vector size="22" baseType="lpstr">
      <vt:lpstr>Menu</vt:lpstr>
      <vt:lpstr>Responsabildade </vt:lpstr>
      <vt:lpstr>Serviços</vt:lpstr>
      <vt:lpstr>Defeitos</vt:lpstr>
      <vt:lpstr>Locais</vt:lpstr>
      <vt:lpstr>Clientes</vt:lpstr>
      <vt:lpstr>Planilha2</vt:lpstr>
      <vt:lpstr>Planilha3</vt:lpstr>
      <vt:lpstr>Correio 1</vt:lpstr>
      <vt:lpstr>Correio 2</vt:lpstr>
      <vt:lpstr>SAT 2025</vt:lpstr>
      <vt:lpstr>Dados</vt:lpstr>
      <vt:lpstr>Dinamic_Uniportas</vt:lpstr>
      <vt:lpstr>Fornecedores</vt:lpstr>
      <vt:lpstr>Uniportas</vt:lpstr>
      <vt:lpstr>Consumidor</vt:lpstr>
      <vt:lpstr>DC_1</vt:lpstr>
      <vt:lpstr>DC_2</vt:lpstr>
      <vt:lpstr>Lista_marca</vt:lpstr>
      <vt:lpstr>Fechaduras</vt:lpstr>
      <vt:lpstr>AT1_intervalo_criterio</vt:lpstr>
      <vt:lpstr>AU1_soma_criterio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Carlos Pinto da Silva</dc:creator>
  <cp:lastModifiedBy>sat@uniportas.com.br</cp:lastModifiedBy>
  <dcterms:created xsi:type="dcterms:W3CDTF">2015-06-05T18:17:20Z</dcterms:created>
  <dcterms:modified xsi:type="dcterms:W3CDTF">2026-04-29T20:14:11Z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2024-03-11T17:20:14Z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977e9a03-b552-4494-9f14-f79c23caec28</vt:lpwstr>
  </property>
  <property fmtid="{D5CDD505-2E9C-101B-9397-08002B2CF9AE}" pid="7" name="MSIP_Label_defa4170-0d19-0005-0004-bc88714345d2_ActionId">
    <vt:lpwstr>ae19e793-b7d5-4d3a-9668-b3b1b8bc67c1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0x010100D79FE88BC493EC4A8F7FBEF2BE49849E</vt:lpwstr>
  </property>
</Properties>
</file>